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eschmal\Downloads\"/>
    </mc:Choice>
  </mc:AlternateContent>
  <xr:revisionPtr revIDLastSave="0" documentId="8_{0EDA2DEF-C2B4-4A15-8BA5-E6FAD8950365}" xr6:coauthVersionLast="47" xr6:coauthVersionMax="47" xr10:uidLastSave="{00000000-0000-0000-0000-000000000000}"/>
  <bookViews>
    <workbookView xWindow="225" yWindow="1305" windowWidth="25515" windowHeight="11175" tabRatio="625" activeTab="8" xr2:uid="{00000000-000D-0000-FFFF-FFFF00000000}"/>
  </bookViews>
  <sheets>
    <sheet name="START" sheetId="1" r:id="rId1"/>
    <sheet name="ANLEITUNG" sheetId="2" r:id="rId2"/>
    <sheet name="EVENTS" sheetId="3" r:id="rId3"/>
    <sheet name="GÄSTELISTE" sheetId="4" r:id="rId4"/>
    <sheet name="BUDGET" sheetId="5" r:id="rId5"/>
    <sheet name="CHECKLISTE" sheetId="6" r:id="rId6"/>
    <sheet name="DIENSTLEISTER" sheetId="7" r:id="rId7"/>
    <sheet name="SITZPLAN" sheetId="8" r:id="rId8"/>
    <sheet name="TAGESABLAUF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60" i="8" l="1"/>
  <c r="E160" i="8"/>
  <c r="F159" i="8"/>
  <c r="E159" i="8"/>
  <c r="F158" i="8"/>
  <c r="E158" i="8"/>
  <c r="F157" i="8"/>
  <c r="E157" i="8"/>
  <c r="F156" i="8"/>
  <c r="E156" i="8"/>
  <c r="F155" i="8"/>
  <c r="E155" i="8"/>
  <c r="F154" i="8"/>
  <c r="E154" i="8"/>
  <c r="F153" i="8"/>
  <c r="E153" i="8"/>
  <c r="F152" i="8"/>
  <c r="E152" i="8"/>
  <c r="F151" i="8"/>
  <c r="E151" i="8"/>
  <c r="F150" i="8"/>
  <c r="E150" i="8"/>
  <c r="F149" i="8"/>
  <c r="E149" i="8"/>
  <c r="F148" i="8"/>
  <c r="E148" i="8"/>
  <c r="F147" i="8"/>
  <c r="E147" i="8"/>
  <c r="F146" i="8"/>
  <c r="E146" i="8"/>
  <c r="F145" i="8"/>
  <c r="E145" i="8"/>
  <c r="F144" i="8"/>
  <c r="E144" i="8"/>
  <c r="F143" i="8"/>
  <c r="E143" i="8"/>
  <c r="F142" i="8"/>
  <c r="E142" i="8"/>
  <c r="F141" i="8"/>
  <c r="E141" i="8"/>
  <c r="F140" i="8"/>
  <c r="E140" i="8"/>
  <c r="F139" i="8"/>
  <c r="E139" i="8"/>
  <c r="F138" i="8"/>
  <c r="E138" i="8"/>
  <c r="F137" i="8"/>
  <c r="E137" i="8"/>
  <c r="F136" i="8"/>
  <c r="E136" i="8"/>
  <c r="F135" i="8"/>
  <c r="E135" i="8"/>
  <c r="F134" i="8"/>
  <c r="E134" i="8"/>
  <c r="F133" i="8"/>
  <c r="E133" i="8"/>
  <c r="F132" i="8"/>
  <c r="E132" i="8"/>
  <c r="F131" i="8"/>
  <c r="E131" i="8"/>
  <c r="F130" i="8"/>
  <c r="E130" i="8"/>
  <c r="F129" i="8"/>
  <c r="E129" i="8"/>
  <c r="F128" i="8"/>
  <c r="E128" i="8"/>
  <c r="F127" i="8"/>
  <c r="E127" i="8"/>
  <c r="F126" i="8"/>
  <c r="E126" i="8"/>
  <c r="F125" i="8"/>
  <c r="E125" i="8"/>
  <c r="F124" i="8"/>
  <c r="E124" i="8"/>
  <c r="F123" i="8"/>
  <c r="E123" i="8"/>
  <c r="F122" i="8"/>
  <c r="E122" i="8"/>
  <c r="F121" i="8"/>
  <c r="E121" i="8"/>
  <c r="F120" i="8"/>
  <c r="E120" i="8"/>
  <c r="F119" i="8"/>
  <c r="E119" i="8"/>
  <c r="F118" i="8"/>
  <c r="E118" i="8"/>
  <c r="F117" i="8"/>
  <c r="E117" i="8"/>
  <c r="F116" i="8"/>
  <c r="E116" i="8"/>
  <c r="F115" i="8"/>
  <c r="E115" i="8"/>
  <c r="F114" i="8"/>
  <c r="E114" i="8"/>
  <c r="F113" i="8"/>
  <c r="E113" i="8"/>
  <c r="F112" i="8"/>
  <c r="E112" i="8"/>
  <c r="F111" i="8"/>
  <c r="E111" i="8"/>
  <c r="F110" i="8"/>
  <c r="E110" i="8"/>
  <c r="F109" i="8"/>
  <c r="E109" i="8"/>
  <c r="F108" i="8"/>
  <c r="E108" i="8"/>
  <c r="F107" i="8"/>
  <c r="E107" i="8"/>
  <c r="F106" i="8"/>
  <c r="E106" i="8"/>
  <c r="F105" i="8"/>
  <c r="E105" i="8"/>
  <c r="F104" i="8"/>
  <c r="E104" i="8"/>
  <c r="F103" i="8"/>
  <c r="E103" i="8"/>
  <c r="F102" i="8"/>
  <c r="E102" i="8"/>
  <c r="F101" i="8"/>
  <c r="E101" i="8"/>
  <c r="F100" i="8"/>
  <c r="E100" i="8"/>
  <c r="F99" i="8"/>
  <c r="E99" i="8"/>
  <c r="F98" i="8"/>
  <c r="E98" i="8"/>
  <c r="F97" i="8"/>
  <c r="E97" i="8"/>
  <c r="F96" i="8"/>
  <c r="E96" i="8"/>
  <c r="F95" i="8"/>
  <c r="E95" i="8"/>
  <c r="F94" i="8"/>
  <c r="E94" i="8"/>
  <c r="F93" i="8"/>
  <c r="E93" i="8"/>
  <c r="F92" i="8"/>
  <c r="E92" i="8"/>
  <c r="F91" i="8"/>
  <c r="E91" i="8"/>
  <c r="F90" i="8"/>
  <c r="E90" i="8"/>
  <c r="F89" i="8"/>
  <c r="E89" i="8"/>
  <c r="F88" i="8"/>
  <c r="E88" i="8"/>
  <c r="F87" i="8"/>
  <c r="E87" i="8"/>
  <c r="F86" i="8"/>
  <c r="E86" i="8"/>
  <c r="F85" i="8"/>
  <c r="E85" i="8"/>
  <c r="F84" i="8"/>
  <c r="E84" i="8"/>
  <c r="F83" i="8"/>
  <c r="E83" i="8"/>
  <c r="F82" i="8"/>
  <c r="E82" i="8"/>
  <c r="F81" i="8"/>
  <c r="E81" i="8"/>
  <c r="F80" i="8"/>
  <c r="E80" i="8"/>
  <c r="F79" i="8"/>
  <c r="E79" i="8"/>
  <c r="F78" i="8"/>
  <c r="E78" i="8"/>
  <c r="F77" i="8"/>
  <c r="E77" i="8"/>
  <c r="F76" i="8"/>
  <c r="E76" i="8"/>
  <c r="F75" i="8"/>
  <c r="E75" i="8"/>
  <c r="F74" i="8"/>
  <c r="E74" i="8"/>
  <c r="F73" i="8"/>
  <c r="E73" i="8"/>
  <c r="F72" i="8"/>
  <c r="E72" i="8"/>
  <c r="F71" i="8"/>
  <c r="E71" i="8"/>
  <c r="F70" i="8"/>
  <c r="E70" i="8"/>
  <c r="F69" i="8"/>
  <c r="E69" i="8"/>
  <c r="F68" i="8"/>
  <c r="E68" i="8"/>
  <c r="F67" i="8"/>
  <c r="E67" i="8"/>
  <c r="F66" i="8"/>
  <c r="E66" i="8"/>
  <c r="F65" i="8"/>
  <c r="E65" i="8"/>
  <c r="F64" i="8"/>
  <c r="E64" i="8"/>
  <c r="F63" i="8"/>
  <c r="E63" i="8"/>
  <c r="F62" i="8"/>
  <c r="E62" i="8"/>
  <c r="F61" i="8"/>
  <c r="E61" i="8"/>
  <c r="F60" i="8"/>
  <c r="E60" i="8"/>
  <c r="F59" i="8"/>
  <c r="E59" i="8"/>
  <c r="F58" i="8"/>
  <c r="E58" i="8"/>
  <c r="F57" i="8"/>
  <c r="E57" i="8"/>
  <c r="F56" i="8"/>
  <c r="E56" i="8"/>
  <c r="F55" i="8"/>
  <c r="E55" i="8"/>
  <c r="F54" i="8"/>
  <c r="E54" i="8"/>
  <c r="F53" i="8"/>
  <c r="E53" i="8"/>
  <c r="F52" i="8"/>
  <c r="E52" i="8"/>
  <c r="F51" i="8"/>
  <c r="E51" i="8"/>
  <c r="F50" i="8"/>
  <c r="E50" i="8"/>
  <c r="F49" i="8"/>
  <c r="E49" i="8"/>
  <c r="F48" i="8"/>
  <c r="E48" i="8"/>
  <c r="F47" i="8"/>
  <c r="E47" i="8"/>
  <c r="F46" i="8"/>
  <c r="E46" i="8"/>
  <c r="F45" i="8"/>
  <c r="E45" i="8"/>
  <c r="F44" i="8"/>
  <c r="E44" i="8"/>
  <c r="F43" i="8"/>
  <c r="E43" i="8"/>
  <c r="F42" i="8"/>
  <c r="E42" i="8"/>
  <c r="F41" i="8"/>
  <c r="E41" i="8"/>
  <c r="F40" i="8"/>
  <c r="E40" i="8"/>
  <c r="F39" i="8"/>
  <c r="E39" i="8"/>
  <c r="F38" i="8"/>
  <c r="E38" i="8"/>
  <c r="F37" i="8"/>
  <c r="E37" i="8"/>
  <c r="F36" i="8"/>
  <c r="E36" i="8"/>
  <c r="F35" i="8"/>
  <c r="E35" i="8"/>
  <c r="F34" i="8"/>
  <c r="E34" i="8"/>
  <c r="F33" i="8"/>
  <c r="E33" i="8"/>
  <c r="F32" i="8"/>
  <c r="E32" i="8"/>
  <c r="F31" i="8"/>
  <c r="E31" i="8"/>
  <c r="F30" i="8"/>
  <c r="E30" i="8"/>
  <c r="F29" i="8"/>
  <c r="E29" i="8"/>
  <c r="F28" i="8"/>
  <c r="E28" i="8"/>
  <c r="F27" i="8"/>
  <c r="E27" i="8"/>
  <c r="F26" i="8"/>
  <c r="E26" i="8"/>
  <c r="F25" i="8"/>
  <c r="E25" i="8"/>
  <c r="F24" i="8"/>
  <c r="E24" i="8"/>
  <c r="F23" i="8"/>
  <c r="E23" i="8"/>
  <c r="F22" i="8"/>
  <c r="E22" i="8"/>
  <c r="F21" i="8"/>
  <c r="E21" i="8"/>
  <c r="F20" i="8"/>
  <c r="E20" i="8"/>
  <c r="F19" i="8"/>
  <c r="E19" i="8"/>
  <c r="F18" i="8"/>
  <c r="E18" i="8"/>
  <c r="F17" i="8"/>
  <c r="E17" i="8"/>
  <c r="F16" i="8"/>
  <c r="E16" i="8"/>
  <c r="F15" i="8"/>
  <c r="E15" i="8"/>
  <c r="F14" i="8"/>
  <c r="E14" i="8"/>
  <c r="F13" i="8"/>
  <c r="E13" i="8"/>
  <c r="F12" i="8"/>
  <c r="E12" i="8"/>
  <c r="F11" i="8"/>
  <c r="E11" i="8"/>
  <c r="F10" i="8"/>
  <c r="E10" i="8"/>
  <c r="F9" i="8"/>
  <c r="E9" i="8"/>
  <c r="F8" i="8"/>
  <c r="E8" i="8"/>
  <c r="G67" i="5"/>
  <c r="F67" i="5"/>
  <c r="E67" i="5"/>
  <c r="D67" i="5"/>
  <c r="H65" i="5"/>
  <c r="H64" i="5"/>
  <c r="H63" i="5"/>
  <c r="H62" i="5"/>
  <c r="H61" i="5"/>
  <c r="H60" i="5"/>
  <c r="H59" i="5"/>
  <c r="H58" i="5"/>
  <c r="H57" i="5"/>
  <c r="H56" i="5"/>
  <c r="H55" i="5"/>
  <c r="H54" i="5"/>
  <c r="H53" i="5"/>
  <c r="H52" i="5"/>
  <c r="H51" i="5"/>
  <c r="H50" i="5"/>
  <c r="H49" i="5"/>
  <c r="H48" i="5"/>
  <c r="H47" i="5"/>
  <c r="H46" i="5"/>
  <c r="H45" i="5"/>
  <c r="H44" i="5"/>
  <c r="H43" i="5"/>
  <c r="H42" i="5"/>
  <c r="H41" i="5"/>
  <c r="H40" i="5"/>
  <c r="H39" i="5"/>
  <c r="H38" i="5"/>
  <c r="H37" i="5"/>
  <c r="H36" i="5"/>
  <c r="H35" i="5"/>
  <c r="H34" i="5"/>
  <c r="H33" i="5"/>
  <c r="H32" i="5"/>
  <c r="H31" i="5"/>
  <c r="H30" i="5"/>
  <c r="H29" i="5"/>
  <c r="H28" i="5"/>
  <c r="H27" i="5"/>
  <c r="H26" i="5"/>
  <c r="H25" i="5"/>
  <c r="H24" i="5"/>
  <c r="H23" i="5"/>
  <c r="H22" i="5"/>
  <c r="H21" i="5"/>
  <c r="H20" i="5"/>
  <c r="H19" i="5"/>
  <c r="H18" i="5"/>
  <c r="H17" i="5"/>
  <c r="H16" i="5"/>
  <c r="H15" i="5"/>
  <c r="H14" i="5"/>
  <c r="H13" i="5"/>
  <c r="H12" i="5"/>
  <c r="H11" i="5"/>
  <c r="H10" i="5"/>
  <c r="H9" i="5"/>
  <c r="H8" i="5"/>
  <c r="H7" i="5"/>
  <c r="B24" i="1" s="1"/>
  <c r="H6" i="5"/>
  <c r="H67" i="5" s="1"/>
  <c r="Q305" i="4"/>
  <c r="Q304" i="4"/>
  <c r="Q303" i="4"/>
  <c r="Q302" i="4"/>
  <c r="Q301" i="4"/>
  <c r="Q300" i="4"/>
  <c r="Q299" i="4"/>
  <c r="Q298" i="4"/>
  <c r="Q297" i="4"/>
  <c r="Q296" i="4"/>
  <c r="Q295" i="4"/>
  <c r="Q294" i="4"/>
  <c r="Q293" i="4"/>
  <c r="Q292" i="4"/>
  <c r="Q291" i="4"/>
  <c r="Q290" i="4"/>
  <c r="Q289" i="4"/>
  <c r="Q288" i="4"/>
  <c r="Q287" i="4"/>
  <c r="Q286" i="4"/>
  <c r="Q285" i="4"/>
  <c r="Q284" i="4"/>
  <c r="Q283" i="4"/>
  <c r="Q282" i="4"/>
  <c r="Q281" i="4"/>
  <c r="Q280" i="4"/>
  <c r="Q279" i="4"/>
  <c r="Q278" i="4"/>
  <c r="Q277" i="4"/>
  <c r="Q276" i="4"/>
  <c r="Q275" i="4"/>
  <c r="Q274" i="4"/>
  <c r="Q273" i="4"/>
  <c r="Q272" i="4"/>
  <c r="Q271" i="4"/>
  <c r="Q270" i="4"/>
  <c r="Q269" i="4"/>
  <c r="Q268" i="4"/>
  <c r="Q267" i="4"/>
  <c r="Q266" i="4"/>
  <c r="Q265" i="4"/>
  <c r="Q264" i="4"/>
  <c r="Q263" i="4"/>
  <c r="Q262" i="4"/>
  <c r="Q261" i="4"/>
  <c r="Q260" i="4"/>
  <c r="Q259" i="4"/>
  <c r="Q258" i="4"/>
  <c r="Q257" i="4"/>
  <c r="Q256" i="4"/>
  <c r="Q255" i="4"/>
  <c r="Q254" i="4"/>
  <c r="Q253" i="4"/>
  <c r="Q252" i="4"/>
  <c r="Q251" i="4"/>
  <c r="Q250" i="4"/>
  <c r="Q249" i="4"/>
  <c r="Q248" i="4"/>
  <c r="Q247" i="4"/>
  <c r="Q246" i="4"/>
  <c r="Q245" i="4"/>
  <c r="Q244" i="4"/>
  <c r="Q243" i="4"/>
  <c r="Q242" i="4"/>
  <c r="Q241" i="4"/>
  <c r="Q240" i="4"/>
  <c r="Q239" i="4"/>
  <c r="Q238" i="4"/>
  <c r="Q237" i="4"/>
  <c r="Q236" i="4"/>
  <c r="Q235" i="4"/>
  <c r="Q234" i="4"/>
  <c r="Q233" i="4"/>
  <c r="Q232" i="4"/>
  <c r="Q231" i="4"/>
  <c r="Q230" i="4"/>
  <c r="Q229" i="4"/>
  <c r="Q228" i="4"/>
  <c r="Q227" i="4"/>
  <c r="Q226" i="4"/>
  <c r="Q225" i="4"/>
  <c r="Q224" i="4"/>
  <c r="Q223" i="4"/>
  <c r="Q222" i="4"/>
  <c r="Q221" i="4"/>
  <c r="Q220" i="4"/>
  <c r="Q219" i="4"/>
  <c r="Q218" i="4"/>
  <c r="Q217" i="4"/>
  <c r="Q216" i="4"/>
  <c r="Q215" i="4"/>
  <c r="Q214" i="4"/>
  <c r="Q213" i="4"/>
  <c r="Q212" i="4"/>
  <c r="Q211" i="4"/>
  <c r="Q210" i="4"/>
  <c r="Q209" i="4"/>
  <c r="Q208" i="4"/>
  <c r="Q207" i="4"/>
  <c r="Q206" i="4"/>
  <c r="Q205" i="4"/>
  <c r="Q204" i="4"/>
  <c r="Q203" i="4"/>
  <c r="Q202" i="4"/>
  <c r="Q201" i="4"/>
  <c r="Q200" i="4"/>
  <c r="Q199" i="4"/>
  <c r="Q198" i="4"/>
  <c r="Q197" i="4"/>
  <c r="Q196" i="4"/>
  <c r="Q195" i="4"/>
  <c r="Q194" i="4"/>
  <c r="Q193" i="4"/>
  <c r="Q192" i="4"/>
  <c r="Q191" i="4"/>
  <c r="Q190" i="4"/>
  <c r="Q189" i="4"/>
  <c r="Q188" i="4"/>
  <c r="Q187" i="4"/>
  <c r="Q186" i="4"/>
  <c r="Q185" i="4"/>
  <c r="Q184" i="4"/>
  <c r="Q183" i="4"/>
  <c r="Q182" i="4"/>
  <c r="Q181" i="4"/>
  <c r="Q180" i="4"/>
  <c r="Q179" i="4"/>
  <c r="Q178" i="4"/>
  <c r="Q177" i="4"/>
  <c r="Q176" i="4"/>
  <c r="Q175" i="4"/>
  <c r="Q174" i="4"/>
  <c r="Q173" i="4"/>
  <c r="Q172" i="4"/>
  <c r="Q171" i="4"/>
  <c r="Q170" i="4"/>
  <c r="Q169" i="4"/>
  <c r="Q168" i="4"/>
  <c r="Q167" i="4"/>
  <c r="Q166" i="4"/>
  <c r="Q165" i="4"/>
  <c r="Q164" i="4"/>
  <c r="Q163" i="4"/>
  <c r="Q162" i="4"/>
  <c r="Q161" i="4"/>
  <c r="Q160" i="4"/>
  <c r="Q159" i="4"/>
  <c r="Q158" i="4"/>
  <c r="Q157" i="4"/>
  <c r="Q156" i="4"/>
  <c r="Q155" i="4"/>
  <c r="Q154" i="4"/>
  <c r="Q153" i="4"/>
  <c r="Q152" i="4"/>
  <c r="Q151" i="4"/>
  <c r="Q150" i="4"/>
  <c r="Q149" i="4"/>
  <c r="Q148" i="4"/>
  <c r="Q147" i="4"/>
  <c r="Q146" i="4"/>
  <c r="Q145" i="4"/>
  <c r="Q144" i="4"/>
  <c r="Q143" i="4"/>
  <c r="Q142" i="4"/>
  <c r="Q141" i="4"/>
  <c r="Q140" i="4"/>
  <c r="Q139" i="4"/>
  <c r="Q138" i="4"/>
  <c r="Q137" i="4"/>
  <c r="Q136" i="4"/>
  <c r="Q135" i="4"/>
  <c r="Q134" i="4"/>
  <c r="Q133" i="4"/>
  <c r="Q132" i="4"/>
  <c r="Q131" i="4"/>
  <c r="Q130" i="4"/>
  <c r="Q129" i="4"/>
  <c r="Q128" i="4"/>
  <c r="Q127" i="4"/>
  <c r="Q126" i="4"/>
  <c r="Q125" i="4"/>
  <c r="Q124" i="4"/>
  <c r="Q123" i="4"/>
  <c r="Q122" i="4"/>
  <c r="Q121" i="4"/>
  <c r="Q120" i="4"/>
  <c r="Q119" i="4"/>
  <c r="Q118" i="4"/>
  <c r="Q117" i="4"/>
  <c r="Q116" i="4"/>
  <c r="Q115" i="4"/>
  <c r="Q114" i="4"/>
  <c r="Q113" i="4"/>
  <c r="Q112" i="4"/>
  <c r="Q111" i="4"/>
  <c r="Q110" i="4"/>
  <c r="Q109" i="4"/>
  <c r="Q108" i="4"/>
  <c r="Q107" i="4"/>
  <c r="Q106" i="4"/>
  <c r="Q105" i="4"/>
  <c r="Q104" i="4"/>
  <c r="Q103" i="4"/>
  <c r="Q102" i="4"/>
  <c r="Q101" i="4"/>
  <c r="Q100" i="4"/>
  <c r="Q99" i="4"/>
  <c r="Q98" i="4"/>
  <c r="Q97" i="4"/>
  <c r="Q96" i="4"/>
  <c r="Q95" i="4"/>
  <c r="Q94" i="4"/>
  <c r="Q93" i="4"/>
  <c r="Q92" i="4"/>
  <c r="Q91" i="4"/>
  <c r="Q90" i="4"/>
  <c r="Q89" i="4"/>
  <c r="Q88" i="4"/>
  <c r="Q87" i="4"/>
  <c r="Q86" i="4"/>
  <c r="Q85" i="4"/>
  <c r="Q84" i="4"/>
  <c r="Q83" i="4"/>
  <c r="Q82" i="4"/>
  <c r="Q81" i="4"/>
  <c r="Q80" i="4"/>
  <c r="Q79" i="4"/>
  <c r="Q78" i="4"/>
  <c r="Q77" i="4"/>
  <c r="Q76" i="4"/>
  <c r="Q75" i="4"/>
  <c r="Q74" i="4"/>
  <c r="Q73" i="4"/>
  <c r="Q72" i="4"/>
  <c r="Q71" i="4"/>
  <c r="Q70" i="4"/>
  <c r="Q69" i="4"/>
  <c r="Q68" i="4"/>
  <c r="Q67" i="4"/>
  <c r="Q66" i="4"/>
  <c r="Q65" i="4"/>
  <c r="Q64" i="4"/>
  <c r="Q63" i="4"/>
  <c r="Q62" i="4"/>
  <c r="Q61" i="4"/>
  <c r="Q60" i="4"/>
  <c r="Q59" i="4"/>
  <c r="Q58" i="4"/>
  <c r="Q57" i="4"/>
  <c r="Q56" i="4"/>
  <c r="Q55" i="4"/>
  <c r="Q54" i="4"/>
  <c r="Q53" i="4"/>
  <c r="Q52" i="4"/>
  <c r="Q51" i="4"/>
  <c r="Q50" i="4"/>
  <c r="Q49" i="4"/>
  <c r="Q48" i="4"/>
  <c r="Q47" i="4"/>
  <c r="Q46" i="4"/>
  <c r="Q45" i="4"/>
  <c r="Q44" i="4"/>
  <c r="Q43" i="4"/>
  <c r="Q42" i="4"/>
  <c r="Q41" i="4"/>
  <c r="Q40" i="4"/>
  <c r="Q39" i="4"/>
  <c r="Q38" i="4"/>
  <c r="Q37" i="4"/>
  <c r="Q36" i="4"/>
  <c r="Q35" i="4"/>
  <c r="Q34" i="4"/>
  <c r="Q33" i="4"/>
  <c r="Q32" i="4"/>
  <c r="Q31" i="4"/>
  <c r="Q30" i="4"/>
  <c r="Q29" i="4"/>
  <c r="Q28" i="4"/>
  <c r="Q27" i="4"/>
  <c r="Q26" i="4"/>
  <c r="Q25" i="4"/>
  <c r="Q24" i="4"/>
  <c r="Q23" i="4"/>
  <c r="Q22" i="4"/>
  <c r="Q21" i="4"/>
  <c r="Q20" i="4"/>
  <c r="Q19" i="4"/>
  <c r="Q18" i="4"/>
  <c r="Q17" i="4"/>
  <c r="Q16" i="4"/>
  <c r="Q15" i="4"/>
  <c r="Q14" i="4"/>
  <c r="Q13" i="4"/>
  <c r="Q12" i="4"/>
  <c r="Q11" i="4"/>
  <c r="Q10" i="4"/>
  <c r="Q9" i="4"/>
  <c r="Q8" i="4"/>
  <c r="Q7" i="4"/>
  <c r="Q6" i="4"/>
  <c r="F7" i="8" s="1"/>
  <c r="O5" i="4"/>
  <c r="N5" i="4"/>
  <c r="M5" i="4"/>
  <c r="L5" i="4"/>
  <c r="K5" i="4"/>
  <c r="B44" i="1"/>
  <c r="E42" i="1"/>
  <c r="D42" i="1"/>
  <c r="C42" i="1"/>
  <c r="B42" i="1"/>
  <c r="A42" i="1"/>
  <c r="E41" i="1"/>
  <c r="D41" i="1"/>
  <c r="C41" i="1"/>
  <c r="B41" i="1"/>
  <c r="A41" i="1"/>
  <c r="E40" i="1"/>
  <c r="D40" i="1"/>
  <c r="C40" i="1"/>
  <c r="B40" i="1"/>
  <c r="A40" i="1"/>
  <c r="E39" i="1"/>
  <c r="D39" i="1"/>
  <c r="C39" i="1"/>
  <c r="B39" i="1"/>
  <c r="A39" i="1"/>
  <c r="E38" i="1"/>
  <c r="D38" i="1"/>
  <c r="C38" i="1"/>
  <c r="B38" i="1"/>
  <c r="A38" i="1"/>
  <c r="B32" i="1"/>
  <c r="B31" i="1"/>
  <c r="B30" i="1"/>
  <c r="B29" i="1"/>
  <c r="B23" i="1"/>
  <c r="B22" i="1"/>
  <c r="B21" i="1"/>
  <c r="B20" i="1"/>
  <c r="B25" i="1" s="1"/>
  <c r="E16" i="1"/>
  <c r="E14" i="1"/>
  <c r="E12" i="1"/>
  <c r="E6" i="8" l="1"/>
  <c r="F6" i="8"/>
  <c r="E7" i="8"/>
</calcChain>
</file>

<file path=xl/sharedStrings.xml><?xml version="1.0" encoding="utf-8"?>
<sst xmlns="http://schemas.openxmlformats.org/spreadsheetml/2006/main" count="452" uniqueCount="271">
  <si>
    <t>💍 Unser Hochzeitsplaner</t>
  </si>
  <si>
    <t>Alle gelb hinterlegten Felder ausfüllen — alles andere rechnet sich automatisch.</t>
  </si>
  <si>
    <t>🗂 EURE DATEN</t>
  </si>
  <si>
    <t>Wir heiraten (Namen)</t>
  </si>
  <si>
    <t>Anna &amp; Tom</t>
  </si>
  <si>
    <t>Hochzeitsdatum</t>
  </si>
  <si>
    <t>Hauptlocation</t>
  </si>
  <si>
    <t>Gut Thansen, Lüneburger Heide</t>
  </si>
  <si>
    <t>Gesamtbudget</t>
  </si>
  <si>
    <t>📊 AUF EINEN BLICK</t>
  </si>
  <si>
    <t>📅  Tage bis zur Hochzeit</t>
  </si>
  <si>
    <t>💶  Budget-Puffer</t>
  </si>
  <si>
    <t>✅  Aufgaben erledigt</t>
  </si>
  <si>
    <t>💶 BUDGET IM DETAIL</t>
  </si>
  <si>
    <t>Geplante Kosten</t>
  </si>
  <si>
    <t>Verbindliche Angebote</t>
  </si>
  <si>
    <t>Tatsächlich bezahlt</t>
  </si>
  <si>
    <t>Noch offen (Rest an Dienstleister)</t>
  </si>
  <si>
    <t>Puffer zum Budget</t>
  </si>
  <si>
    <t>✅ AUFGABEN IM DETAIL</t>
  </si>
  <si>
    <t>Aufgaben gesamt</t>
  </si>
  <si>
    <t>Erledigt</t>
  </si>
  <si>
    <t>In Arbeit</t>
  </si>
  <si>
    <t>Offen</t>
  </si>
  <si>
    <t>👥 GÄSTE JE EVENT</t>
  </si>
  <si>
    <t>Die Namen kommen automatisch aus dem Blatt EVENTS.</t>
  </si>
  <si>
    <t>Event</t>
  </si>
  <si>
    <t>Zusagen</t>
  </si>
  <si>
    <t>Absagen</t>
  </si>
  <si>
    <t>Eingeladen</t>
  </si>
  <si>
    <t>Personen gesamt auf der Gästeliste</t>
  </si>
  <si>
    <t>Hinweis: Die Beispielzeilen sind mit „BEISPIEL“ gekennzeichnet — einfach überschreiben oder löschen.</t>
  </si>
  <si>
    <t>📖 Anleitung &amp; Tipps</t>
  </si>
  <si>
    <t>So funktioniert der Planer</t>
  </si>
  <si>
    <t>Gelb hinterlegte Felder sind eure Eingabefelder. Alles andere rechnet sich automatisch — bitte nicht überschreiben, sonst geht die Formel verloren.</t>
  </si>
  <si>
    <t>Fangt auf dem Blatt START an: Namen, Hochzeitsdatum und Gesamtbudget eintragen. Danach das Blatt EVENTS ausfüllen.</t>
  </si>
  <si>
    <t>Jede Zeile, die mit „BEISPIEL“ beginnt, ist nur zur Veranschaulichung da. Überschreibt sie mit euren echten Daten oder löscht sie.</t>
  </si>
  <si>
    <t>Die Reihenfolge, die sich bewährt hat</t>
  </si>
  <si>
    <t>1. EVENTS — Welche Programmpunkte hat eure Hochzeit? Standesamt, Welcome Dinner, freie Trauung, Feier, Brunch am Folgetag. Auch wenn ihr nur einen Termin habt: Tragt ihn als Event 1 ein, denn die Gästeliste greift darauf zu.</t>
  </si>
  <si>
    <t>2. GÄSTELISTE — Alle Personen erfassen. Für jedes Event gibt es eine eigene Zu-/Absage-Spalte. So könnt ihr abbilden, dass jemand zur Feier kommt, aber nicht zum Brunch.</t>
  </si>
  <si>
    <t>3. BUDGET — Erst grob planen, dann die Angebote eintragen, zuletzt die tatsächlichen Zahlungen.</t>
  </si>
  <si>
    <t>4. CHECKLISTE — Ist bereits mit den üblichen Aufgaben vorbefüllt. Streicht, was nicht passt, und ergänzt Eigenes.</t>
  </si>
  <si>
    <t>5. DIENSTLEISTER, SITZPLAN und TAGESABLAUF füllt ihr, sobald die Zusagen da sind.</t>
  </si>
  <si>
    <t>Mehrtägige Hochzeiten</t>
  </si>
  <si>
    <t>Der Planer ist auf bis zu fünf Programmpunkte ausgelegt. Tragt jeden Tag oder jede Zeremonie als eigenes Event ein — die Gästeliste bekommt dadurch automatisch eine eigene Rückmeldespalte je Event.</t>
  </si>
  <si>
    <t>Rückmeldungen automatisch einsammeln (optional)</t>
  </si>
  <si>
    <t>Wichtig dabei: Das Formular braucht ein eigenes Feld je Event (z. B. „Kommt ihr zum Brunch?“) mit den Antwortmöglichkeiten Zusage / Absage. Die Felder werden dann auf die Spalten K bis O gemappt.</t>
  </si>
  <si>
    <t>Jede neue Antwort erzeugt automatisch eine neue Zeile. Die Auswertung auf dem Blatt START aktualisiert sich mit.</t>
  </si>
  <si>
    <t>Excel oder Google Sheets?</t>
  </si>
  <si>
    <t>Die Datei funktioniert in beiden Programmen. In Google Sheets: Datei → Importieren → Hochladen. Alle Formeln, Auswahllisten und Farbregeln bleiben erhalten.</t>
  </si>
  <si>
    <t>Für die automatische Formularanbindung braucht ihr Google Sheets — in Excel tragt ihr die Rückmeldungen von Hand ein.</t>
  </si>
  <si>
    <t>Tipps aus der Praxis</t>
  </si>
  <si>
    <t>Plant zehn Prozent Puffer aufs Budget ein. Der Posten, der am häufigsten unterschätzt wird, ist die Dekoration.</t>
  </si>
  <si>
    <t>Fragt Essenswünsche und Allergien schon bei der Zusage ab, nicht erst zwei Wochen vorher.</t>
  </si>
  <si>
    <t>Beim Sitzplan zuerst die schwierigen Konstellationen setzen, dann den Rest auffüllen.</t>
  </si>
  <si>
    <t>Der Tagesablauf ist auch das Dokument, das eure Dienstleister brauchen — Fotograf, Musik und Küche stimmen sich daran ab.</t>
  </si>
  <si>
    <t>Erstellt von Zwischen Heide &amp; Herz — Freie Trauungen &amp; Hochzeitswebsites</t>
  </si>
  <si>
    <t>📅 Events</t>
  </si>
  <si>
    <t>Jeder Programmpunkt eurer Hochzeit. Die Namen in Spalte B steuern die Gästeliste und das Dashboard.</t>
  </si>
  <si>
    <t>Nr.</t>
  </si>
  <si>
    <t>Event-Name</t>
  </si>
  <si>
    <t>Datum</t>
  </si>
  <si>
    <t>von</t>
  </si>
  <si>
    <t>bis</t>
  </si>
  <si>
    <t>Ort</t>
  </si>
  <si>
    <t>Adresse</t>
  </si>
  <si>
    <t>Dresscode</t>
  </si>
  <si>
    <t>Ansprechpartner</t>
  </si>
  <si>
    <t>Notizen</t>
  </si>
  <si>
    <t>Standesamt</t>
  </si>
  <si>
    <t>11:00</t>
  </si>
  <si>
    <t>12:00</t>
  </si>
  <si>
    <t>Standesamt Salzhausen</t>
  </si>
  <si>
    <t>Marktplatz 1, 21376 Salzhausen</t>
  </si>
  <si>
    <t>Elegant</t>
  </si>
  <si>
    <t>Standesbeamtin Frau Meier</t>
  </si>
  <si>
    <t>BEISPIEL — nur enge Familie</t>
  </si>
  <si>
    <t>Welcome Dinner</t>
  </si>
  <si>
    <t>19:00</t>
  </si>
  <si>
    <t>23:00</t>
  </si>
  <si>
    <t>Landhaus Höpen</t>
  </si>
  <si>
    <t>Höpen 3, 29646 Bispingen</t>
  </si>
  <si>
    <t>Casual</t>
  </si>
  <si>
    <t>Restaurantleitung</t>
  </si>
  <si>
    <t>BEISPIEL — für angereiste Gäste</t>
  </si>
  <si>
    <t>Freie Trauung</t>
  </si>
  <si>
    <t>14:00</t>
  </si>
  <si>
    <t>15:00</t>
  </si>
  <si>
    <t>Gut Thansen, Heidegarten</t>
  </si>
  <si>
    <t>Thansen 1, 21388 Soderstorf</t>
  </si>
  <si>
    <t>Sommerlich festlich</t>
  </si>
  <si>
    <t>Eduard Schmal</t>
  </si>
  <si>
    <t>BEISPIEL</t>
  </si>
  <si>
    <t>Hochzeitsfeier</t>
  </si>
  <si>
    <t>16:00</t>
  </si>
  <si>
    <t>03:00</t>
  </si>
  <si>
    <t>Gut Thansen, Scheune</t>
  </si>
  <si>
    <t>Eventmanagerin</t>
  </si>
  <si>
    <t>Brunch</t>
  </si>
  <si>
    <t>10:00</t>
  </si>
  <si>
    <t>Gut Thansen, Terrasse</t>
  </si>
  <si>
    <t>Leger</t>
  </si>
  <si>
    <t>BEISPIEL — nur Übernachtungsgäste</t>
  </si>
  <si>
    <t>Nicht mehr als fünf Events — die Gästeliste ist auf fünf Rückmeldespalten ausgelegt.</t>
  </si>
  <si>
    <t>👥 Gästeliste</t>
  </si>
  <si>
    <t>Eine Zeile je Person. Die Spalten K bis O sind die Rückmeldungen je Event.</t>
  </si>
  <si>
    <t>Vorname</t>
  </si>
  <si>
    <t>Nachname</t>
  </si>
  <si>
    <t>E-Mail</t>
  </si>
  <si>
    <t>Telefon</t>
  </si>
  <si>
    <t>Gruppe</t>
  </si>
  <si>
    <t>Alter</t>
  </si>
  <si>
    <t>Essenswunsch</t>
  </si>
  <si>
    <t>Allergien / Unverträglichkeiten</t>
  </si>
  <si>
    <t>Übernachtung</t>
  </si>
  <si>
    <t>Suchname (automatisch)</t>
  </si>
  <si>
    <t>Maria</t>
  </si>
  <si>
    <t>Schmidt</t>
  </si>
  <si>
    <t>maria.schmidt@example.de</t>
  </si>
  <si>
    <t>0151 2345678</t>
  </si>
  <si>
    <t>Familie Braut</t>
  </si>
  <si>
    <t>Erwachsen</t>
  </si>
  <si>
    <t>Vegetarisch</t>
  </si>
  <si>
    <t>Nussallergie</t>
  </si>
  <si>
    <t>Ja</t>
  </si>
  <si>
    <t>Zusage</t>
  </si>
  <si>
    <t>BEISPIEL — bitte überschreiben</t>
  </si>
  <si>
    <t>Jonas</t>
  </si>
  <si>
    <t>Weber</t>
  </si>
  <si>
    <t>jonas.weber@example.de</t>
  </si>
  <si>
    <t>0170 9876543</t>
  </si>
  <si>
    <t>Freunde</t>
  </si>
  <si>
    <t>Fleisch</t>
  </si>
  <si>
    <t>Nein</t>
  </si>
  <si>
    <t>Absage</t>
  </si>
  <si>
    <t>BEISPIEL — kommt nicht zum Brunch</t>
  </si>
  <si>
    <t>Lina</t>
  </si>
  <si>
    <t>Kind</t>
  </si>
  <si>
    <t>Kindermenü</t>
  </si>
  <si>
    <t>Laktose</t>
  </si>
  <si>
    <t>💶 Budget</t>
  </si>
  <si>
    <t>Spalte H rechnet automatisch: was nach der Anzahlung noch offen ist.</t>
  </si>
  <si>
    <t>Kategorie</t>
  </si>
  <si>
    <t>Position</t>
  </si>
  <si>
    <t>Dienstleister</t>
  </si>
  <si>
    <t>Geplant</t>
  </si>
  <si>
    <t>Angebot</t>
  </si>
  <si>
    <t>Bezahlt</t>
  </si>
  <si>
    <t>Anzahlung</t>
  </si>
  <si>
    <t>Noch offen</t>
  </si>
  <si>
    <t>Status</t>
  </si>
  <si>
    <t>Fällig am</t>
  </si>
  <si>
    <t>Location</t>
  </si>
  <si>
    <t>Miete Scheune &amp; Heidegarten</t>
  </si>
  <si>
    <t>Gut Thansen</t>
  </si>
  <si>
    <t>Angezahlt</t>
  </si>
  <si>
    <t>Catering</t>
  </si>
  <si>
    <t>Menü &amp; Getränke, 75 Personen</t>
  </si>
  <si>
    <t>Landküche Nord</t>
  </si>
  <si>
    <t>Angebot liegt vor</t>
  </si>
  <si>
    <t>Zeremonie</t>
  </si>
  <si>
    <t>Zwischen Heide &amp; Herz</t>
  </si>
  <si>
    <t>BEISPIEL — Komfortpaket</t>
  </si>
  <si>
    <t>Foto &amp; Video</t>
  </si>
  <si>
    <t>Fotograf ganztags</t>
  </si>
  <si>
    <t>Dekoration</t>
  </si>
  <si>
    <t>Blumen &amp; Tischdeko</t>
  </si>
  <si>
    <t>BEISPIEL — wird oft unterschätzt</t>
  </si>
  <si>
    <t>SUMME</t>
  </si>
  <si>
    <t>✅ Checkliste</t>
  </si>
  <si>
    <t>Vorbefüllt mit den üblichen Aufgaben. Streicht, was nicht passt, ergänzt Eigenes.</t>
  </si>
  <si>
    <t>Zeitfenster</t>
  </si>
  <si>
    <t>Aufgabe</t>
  </si>
  <si>
    <t>Zuständig</t>
  </si>
  <si>
    <t>Frist</t>
  </si>
  <si>
    <t>12+ Monate vorher</t>
  </si>
  <si>
    <t>Budgetrahmen festlegen und Finanzierung klären</t>
  </si>
  <si>
    <t>Wunschtermin und Alternativtermine festlegen</t>
  </si>
  <si>
    <t>Grobe Gästezahl bestimmen</t>
  </si>
  <si>
    <t>Location besichtigen und reservieren</t>
  </si>
  <si>
    <t>Standesamt-Termin anfragen</t>
  </si>
  <si>
    <t>Trauredner für die freie Trauung anfragen</t>
  </si>
  <si>
    <t>Fotograf und Videograf anfragen</t>
  </si>
  <si>
    <t>9–12 Monate vorher</t>
  </si>
  <si>
    <t>Save-the-Date verschicken</t>
  </si>
  <si>
    <t>Catering auswählen und Probeessen vereinbaren</t>
  </si>
  <si>
    <t>Musik klären: Band oder DJ</t>
  </si>
  <si>
    <t>Brautkleid und Anzug aussuchen</t>
  </si>
  <si>
    <t>Trauzeugen fragen</t>
  </si>
  <si>
    <t>Übernachtungskontingent im Hotel blocken</t>
  </si>
  <si>
    <t>6–9 Monate vorher</t>
  </si>
  <si>
    <t>Hochzeitswebsite einrichten und Link vorbereiten</t>
  </si>
  <si>
    <t>Einladungen gestalten</t>
  </si>
  <si>
    <t>Ringe aussuchen</t>
  </si>
  <si>
    <t>Dekorationskonzept festlegen</t>
  </si>
  <si>
    <t>Florist buchen</t>
  </si>
  <si>
    <t>Trauzeremonie inhaltlich mit dem Trauredner besprechen</t>
  </si>
  <si>
    <t>3–6 Monate vorher</t>
  </si>
  <si>
    <t>Einladungen verschicken mit Link zur Hochzeitswebsite</t>
  </si>
  <si>
    <t>Rückmeldungen der Gäste verfolgen</t>
  </si>
  <si>
    <t>Menü final abstimmen, Allergien erfassen</t>
  </si>
  <si>
    <t>Hochzeitstorte bestellen</t>
  </si>
  <si>
    <t>Fahrzeug für den Hochzeitstag organisieren</t>
  </si>
  <si>
    <t>Trauzeugen-Programm abstimmen</t>
  </si>
  <si>
    <t>Eheversprechen schreiben</t>
  </si>
  <si>
    <t>1–3 Monate vorher</t>
  </si>
  <si>
    <t>Sitzplan erstellen</t>
  </si>
  <si>
    <t>Tagesablauf mit allen Dienstleistern teilen</t>
  </si>
  <si>
    <t>Probe-Styling für Haare und Make-up</t>
  </si>
  <si>
    <t>Ringe abholen</t>
  </si>
  <si>
    <t>Restzahlungen an Dienstleister planen</t>
  </si>
  <si>
    <t>Ablauf der Zeremonie final festziehen</t>
  </si>
  <si>
    <t>Letzte 4 Wochen</t>
  </si>
  <si>
    <t>Endgültige Gästezahl an Catering und Location melden</t>
  </si>
  <si>
    <t>Nachfassen bei Gästen ohne Rückmeldung</t>
  </si>
  <si>
    <t>Sitzplan finalisieren und Tischkarten drucken</t>
  </si>
  <si>
    <t>Notfalltasche packen</t>
  </si>
  <si>
    <t>Ablaufplan an Trauzeugen und Familie verteilen</t>
  </si>
  <si>
    <t>Wetter-Plan B für Außenzeremonie festlegen</t>
  </si>
  <si>
    <t>Hochzeitswoche</t>
  </si>
  <si>
    <t>Kleidung final anprobieren</t>
  </si>
  <si>
    <t>Dienstleister-Kontakte auf einer Liste bündeln</t>
  </si>
  <si>
    <t>Deko-Material zur Location bringen</t>
  </si>
  <si>
    <t>Trinkgelder vorbereiten</t>
  </si>
  <si>
    <t>Ausschlafen und gut essen</t>
  </si>
  <si>
    <t>Nach der Hochzeit</t>
  </si>
  <si>
    <t>Dankeskarten verschicken</t>
  </si>
  <si>
    <t>Restzahlungen und Rechnungen prüfen</t>
  </si>
  <si>
    <t>Bewertungen für die Dienstleister schreiben</t>
  </si>
  <si>
    <t>Kleid reinigen lassen</t>
  </si>
  <si>
    <t>Namensänderung bei Ämtern und Banken</t>
  </si>
  <si>
    <t>🤝 Dienstleister</t>
  </si>
  <si>
    <t>Vergleichen, buchen, den Überblick behalten.</t>
  </si>
  <si>
    <t>Anbieter</t>
  </si>
  <si>
    <t>Vertrag unterschrieben</t>
  </si>
  <si>
    <t>Bewertung 1–5</t>
  </si>
  <si>
    <t>Frau Ahrens</t>
  </si>
  <si>
    <t>04172 123456</t>
  </si>
  <si>
    <t>info@example.de</t>
  </si>
  <si>
    <t>Gebucht</t>
  </si>
  <si>
    <t>hallo@example.de</t>
  </si>
  <si>
    <t>Studio Nordlicht</t>
  </si>
  <si>
    <t>🪑 Sitzplan</t>
  </si>
  <si>
    <t>Spalte D prüft automatisch, ob die Person für die Feier zugesagt hat.</t>
  </si>
  <si>
    <t>Tisch</t>
  </si>
  <si>
    <t>Platz</t>
  </si>
  <si>
    <t>Zugesagt?</t>
  </si>
  <si>
    <t>Tisch 1 — Brautpaar</t>
  </si>
  <si>
    <t>Spalte E und F holen sich die Daten aus der Gästeliste (Rückmeldung zum 4. Event). Schreibt Vor- und Nachname genau so wie dort.</t>
  </si>
  <si>
    <t>🕐 Tagesablauf</t>
  </si>
  <si>
    <t>Das Dokument, das eure Dienstleister brauchen. Teilt es rechtzeitig.</t>
  </si>
  <si>
    <t>Uhrzeit</t>
  </si>
  <si>
    <t>Programmpunkt</t>
  </si>
  <si>
    <t>Dauer (Min.)</t>
  </si>
  <si>
    <t>13:30</t>
  </si>
  <si>
    <t>Gäste treffen ein, Sektempfang</t>
  </si>
  <si>
    <t>Heidegarten</t>
  </si>
  <si>
    <t>Einzug und Zeremonie</t>
  </si>
  <si>
    <t>Trauredner</t>
  </si>
  <si>
    <t>Gratulation und Gruppenfoto</t>
  </si>
  <si>
    <t>Fotograf</t>
  </si>
  <si>
    <t>Vor der Scheune</t>
  </si>
  <si>
    <t>Kaffee und Kuchen</t>
  </si>
  <si>
    <t>Scheune</t>
  </si>
  <si>
    <t>18:30</t>
  </si>
  <si>
    <t>Abendessen</t>
  </si>
  <si>
    <t>20:30</t>
  </si>
  <si>
    <t>Eröffnungstanz</t>
  </si>
  <si>
    <t>DJ</t>
  </si>
  <si>
    <t xml:space="preserve">Das ist der Punkt, an dem die meisten kostenlosen Hochzeitsportale aufgeben: Dort gibt es nur eine einzige Zu- oder Absage für die gesamte Hochzeit.
</t>
  </si>
  <si>
    <t xml:space="preserve">Wenn ihr eure Zu- und Absagen über ein Online-Formular einsammelt, lässt sich dieses Blatt direkt damit verbinden. Wenn ihr eine Hochzeitswebsite gebucht habt, wird das für euch eingerichtet und geplegt.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</si>
</sst>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dd\.mm\.yyyy"/>
    <numFmt numFmtId="166" formatCode="#,##0.00\ \€"/>
    <numFmt numFmtId="167" formatCode="0\ %"/>
  </numFmts>
  <fonts count="11" x14ac:knownFonts="1">
    <font>
      <sz val="11"/>
      <color theme="1"/>
      <name val="Calibri"/>
      <family val="2"/>
      <scheme val="minor"/>
    </font>
    <font>
      <b/>
      <sz val="20"/>
      <color rgb="FF1E2A38"/>
      <name val="Georgia"/>
    </font>
    <font>
      <i/>
      <sz val="9"/>
      <color rgb="FF7C8A88"/>
      <name val="Arial"/>
    </font>
    <font>
      <b/>
      <sz val="12"/>
      <color rgb="FFB5673E"/>
      <name val="Arial"/>
    </font>
    <font>
      <sz val="10"/>
      <color rgb="FF1E2A38"/>
      <name val="Arial"/>
    </font>
    <font>
      <b/>
      <sz val="10"/>
      <color rgb="FF0000FF"/>
      <name val="Arial"/>
    </font>
    <font>
      <b/>
      <sz val="11"/>
      <color rgb="FF1E2A38"/>
      <name val="Arial"/>
    </font>
    <font>
      <b/>
      <sz val="20"/>
      <color rgb="FF1E2A38"/>
      <name val="Arial"/>
    </font>
    <font>
      <b/>
      <sz val="10"/>
      <color rgb="FF1E2A38"/>
      <name val="Arial"/>
    </font>
    <font>
      <b/>
      <sz val="10"/>
      <color rgb="FFFFFFFF"/>
      <name val="Arial"/>
    </font>
    <font>
      <i/>
      <sz val="10"/>
      <color rgb="FF7C8A88"/>
      <name val="Arial"/>
    </font>
  </fonts>
  <fills count="9">
    <fill>
      <patternFill patternType="none"/>
    </fill>
    <fill>
      <patternFill patternType="gray125"/>
    </fill>
    <fill>
      <patternFill patternType="solid">
        <fgColor rgb="FFE8EDE4"/>
      </patternFill>
    </fill>
    <fill>
      <patternFill patternType="solid">
        <fgColor rgb="FFFFF3CD"/>
      </patternFill>
    </fill>
    <fill>
      <patternFill patternType="solid">
        <fgColor rgb="FFF3E4D8"/>
      </patternFill>
    </fill>
    <fill>
      <patternFill patternType="solid">
        <fgColor rgb="FFFBF6EE"/>
      </patternFill>
    </fill>
    <fill>
      <patternFill patternType="solid">
        <fgColor rgb="FF7C9885"/>
      </patternFill>
    </fill>
    <fill>
      <patternFill patternType="solid">
        <fgColor rgb="FFF3F1E9"/>
      </patternFill>
    </fill>
    <fill>
      <patternFill patternType="solid">
        <fgColor rgb="FFB5673E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B5673E"/>
      </bottom>
      <diagonal/>
    </border>
    <border>
      <left style="thin">
        <color rgb="FFCDD2C4"/>
      </left>
      <right style="thin">
        <color rgb="FFCDD2C4"/>
      </right>
      <top style="thin">
        <color rgb="FFCDD2C4"/>
      </top>
      <bottom style="thin">
        <color rgb="FFCDD2C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3" fillId="0" borderId="0" xfId="0" applyFont="1"/>
    <xf numFmtId="0" fontId="4" fillId="0" borderId="0" xfId="0" applyFont="1"/>
    <xf numFmtId="0" fontId="5" fillId="3" borderId="2" xfId="0" applyFont="1" applyFill="1" applyBorder="1"/>
    <xf numFmtId="165" fontId="5" fillId="3" borderId="2" xfId="0" applyNumberFormat="1" applyFont="1" applyFill="1" applyBorder="1"/>
    <xf numFmtId="166" fontId="5" fillId="3" borderId="2" xfId="0" applyNumberFormat="1" applyFont="1" applyFill="1" applyBorder="1"/>
    <xf numFmtId="166" fontId="4" fillId="0" borderId="2" xfId="0" applyNumberFormat="1" applyFont="1" applyBorder="1"/>
    <xf numFmtId="166" fontId="8" fillId="0" borderId="2" xfId="0" applyNumberFormat="1" applyFont="1" applyBorder="1"/>
    <xf numFmtId="0" fontId="4" fillId="0" borderId="2" xfId="0" applyFont="1" applyBorder="1"/>
    <xf numFmtId="0" fontId="2" fillId="0" borderId="0" xfId="0" applyFont="1"/>
    <xf numFmtId="0" fontId="9" fillId="6" borderId="2" xfId="0" applyFont="1" applyFill="1" applyBorder="1" applyAlignment="1">
      <alignment horizontal="center"/>
    </xf>
    <xf numFmtId="0" fontId="4" fillId="7" borderId="2" xfId="0" applyFont="1" applyFill="1" applyBorder="1"/>
    <xf numFmtId="0" fontId="4" fillId="7" borderId="2" xfId="0" applyFont="1" applyFill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8" fillId="0" borderId="0" xfId="0" applyFont="1"/>
    <xf numFmtId="0" fontId="4" fillId="0" borderId="0" xfId="0" applyFont="1" applyAlignment="1">
      <alignment vertical="top" wrapText="1"/>
    </xf>
    <xf numFmtId="0" fontId="9" fillId="6" borderId="2" xfId="0" applyFont="1" applyFill="1" applyBorder="1" applyAlignment="1">
      <alignment horizontal="center" vertical="center" wrapText="1"/>
    </xf>
    <xf numFmtId="165" fontId="4" fillId="7" borderId="2" xfId="0" applyNumberFormat="1" applyFont="1" applyFill="1" applyBorder="1"/>
    <xf numFmtId="165" fontId="4" fillId="0" borderId="2" xfId="0" applyNumberFormat="1" applyFont="1" applyBorder="1"/>
    <xf numFmtId="0" fontId="9" fillId="8" borderId="2" xfId="0" applyFont="1" applyFill="1" applyBorder="1" applyAlignment="1">
      <alignment horizontal="center" vertical="center" wrapText="1"/>
    </xf>
    <xf numFmtId="0" fontId="9" fillId="6" borderId="2" xfId="0" applyFont="1" applyFill="1" applyBorder="1" applyAlignment="1">
      <alignment horizontal="center" vertical="center"/>
    </xf>
    <xf numFmtId="0" fontId="10" fillId="7" borderId="2" xfId="0" applyFont="1" applyFill="1" applyBorder="1"/>
    <xf numFmtId="0" fontId="10" fillId="0" borderId="2" xfId="0" applyFont="1" applyBorder="1"/>
    <xf numFmtId="166" fontId="4" fillId="7" borderId="2" xfId="0" applyNumberFormat="1" applyFont="1" applyFill="1" applyBorder="1"/>
    <xf numFmtId="166" fontId="8" fillId="5" borderId="2" xfId="0" applyNumberFormat="1" applyFont="1" applyFill="1" applyBorder="1"/>
    <xf numFmtId="0" fontId="2" fillId="0" borderId="0" xfId="0" applyFont="1" applyAlignment="1">
      <alignment vertical="center" indent="1"/>
    </xf>
    <xf numFmtId="0" fontId="0" fillId="0" borderId="0" xfId="0"/>
    <xf numFmtId="1" fontId="7" fillId="2" borderId="2" xfId="0" applyNumberFormat="1" applyFont="1" applyFill="1" applyBorder="1" applyAlignment="1">
      <alignment horizontal="center" vertical="center"/>
    </xf>
    <xf numFmtId="0" fontId="0" fillId="2" borderId="2" xfId="0" applyFill="1" applyBorder="1"/>
    <xf numFmtId="167" fontId="7" fillId="5" borderId="2" xfId="0" applyNumberFormat="1" applyFont="1" applyFill="1" applyBorder="1" applyAlignment="1">
      <alignment horizontal="center" vertical="center"/>
    </xf>
    <xf numFmtId="0" fontId="0" fillId="5" borderId="2" xfId="0" applyFill="1" applyBorder="1"/>
    <xf numFmtId="0" fontId="6" fillId="2" borderId="2" xfId="0" applyFont="1" applyFill="1" applyBorder="1" applyAlignment="1">
      <alignment horizontal="left" vertical="center" indent="1"/>
    </xf>
    <xf numFmtId="0" fontId="1" fillId="2" borderId="1" xfId="0" applyFont="1" applyFill="1" applyBorder="1" applyAlignment="1">
      <alignment vertical="center" indent="1"/>
    </xf>
    <xf numFmtId="0" fontId="0" fillId="2" borderId="1" xfId="0" applyFill="1" applyBorder="1"/>
    <xf numFmtId="166" fontId="7" fillId="4" borderId="2" xfId="0" applyNumberFormat="1" applyFont="1" applyFill="1" applyBorder="1" applyAlignment="1">
      <alignment horizontal="center" vertical="center"/>
    </xf>
    <xf numFmtId="0" fontId="0" fillId="4" borderId="2" xfId="0" applyFill="1" applyBorder="1"/>
    <xf numFmtId="0" fontId="6" fillId="5" borderId="2" xfId="0" applyFont="1" applyFill="1" applyBorder="1" applyAlignment="1">
      <alignment horizontal="left" vertical="center" indent="1"/>
    </xf>
    <xf numFmtId="0" fontId="6" fillId="4" borderId="2" xfId="0" applyFont="1" applyFill="1" applyBorder="1" applyAlignment="1">
      <alignment horizontal="left" vertical="center" indent="1"/>
    </xf>
  </cellXfs>
  <cellStyles count="1">
    <cellStyle name="Standard" xfId="0" builtinId="0"/>
  </cellStyles>
  <dxfs count="9">
    <dxf>
      <font>
        <sz val="10"/>
        <color rgb="FFB00020"/>
        <name val="Arial"/>
      </font>
      <fill>
        <patternFill patternType="solid">
          <fgColor rgb="FFF6E0E0"/>
        </patternFill>
      </fill>
    </dxf>
    <dxf>
      <font>
        <sz val="10"/>
        <color rgb="FF5B7F63"/>
        <name val="Arial"/>
      </font>
      <fill>
        <patternFill patternType="solid">
          <fgColor rgb="FFDCEBE2"/>
        </patternFill>
      </fill>
    </dxf>
    <dxf>
      <font>
        <sz val="10"/>
        <color rgb="FF9AA396"/>
        <name val="Arial"/>
      </font>
    </dxf>
    <dxf>
      <fill>
        <patternFill patternType="solid">
          <fgColor rgb="FFFFF3CD"/>
        </patternFill>
      </fill>
    </dxf>
    <dxf>
      <font>
        <sz val="10"/>
        <color rgb="FF5B7F63"/>
        <name val="Arial"/>
      </font>
      <fill>
        <patternFill patternType="solid">
          <fgColor rgb="FFDCEBE2"/>
        </patternFill>
      </fill>
    </dxf>
    <dxf>
      <fill>
        <patternFill patternType="solid">
          <fgColor rgb="FFFFF3CD"/>
        </patternFill>
      </fill>
    </dxf>
    <dxf>
      <font>
        <sz val="10"/>
        <color rgb="FFB00020"/>
        <name val="Arial"/>
      </font>
      <fill>
        <patternFill patternType="solid">
          <fgColor rgb="FFF6E0E0"/>
        </patternFill>
      </fill>
    </dxf>
    <dxf>
      <font>
        <sz val="10"/>
        <color rgb="FF5B7F63"/>
        <name val="Arial"/>
      </font>
      <fill>
        <patternFill patternType="solid">
          <fgColor rgb="FFDCEBE2"/>
        </patternFill>
      </fill>
    </dxf>
    <dxf>
      <font>
        <b/>
        <sz val="10"/>
        <color rgb="FFB00020"/>
        <name val="Arial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7C9885"/>
  </sheetPr>
  <dimension ref="A1:F47"/>
  <sheetViews>
    <sheetView showGridLines="0" topLeftCell="A26" workbookViewId="0">
      <selection activeCell="A42" sqref="A42"/>
    </sheetView>
  </sheetViews>
  <sheetFormatPr baseColWidth="10" defaultColWidth="9.140625" defaultRowHeight="15" x14ac:dyDescent="0.25"/>
  <cols>
    <col min="1" max="2" width="30" customWidth="1"/>
    <col min="3" max="8" width="16" customWidth="1"/>
  </cols>
  <sheetData>
    <row r="1" spans="1:6" ht="33.950000000000003" customHeight="1" x14ac:dyDescent="0.25">
      <c r="A1" s="32" t="s">
        <v>0</v>
      </c>
      <c r="B1" s="33"/>
      <c r="C1" s="33"/>
      <c r="D1" s="33"/>
      <c r="E1" s="33"/>
      <c r="F1" s="33"/>
    </row>
    <row r="2" spans="1:6" ht="15.95" customHeight="1" x14ac:dyDescent="0.25">
      <c r="A2" s="25" t="s">
        <v>1</v>
      </c>
      <c r="B2" s="26"/>
      <c r="C2" s="26"/>
      <c r="D2" s="26"/>
      <c r="E2" s="26"/>
      <c r="F2" s="26"/>
    </row>
    <row r="4" spans="1:6" ht="15.75" x14ac:dyDescent="0.25">
      <c r="A4" s="1" t="s">
        <v>2</v>
      </c>
    </row>
    <row r="5" spans="1:6" x14ac:dyDescent="0.25">
      <c r="A5" s="2" t="s">
        <v>3</v>
      </c>
      <c r="B5" s="3" t="s">
        <v>4</v>
      </c>
    </row>
    <row r="6" spans="1:6" x14ac:dyDescent="0.25">
      <c r="A6" s="2" t="s">
        <v>5</v>
      </c>
      <c r="B6" s="4">
        <v>46550</v>
      </c>
    </row>
    <row r="7" spans="1:6" x14ac:dyDescent="0.25">
      <c r="A7" s="2" t="s">
        <v>6</v>
      </c>
      <c r="B7" s="3" t="s">
        <v>7</v>
      </c>
    </row>
    <row r="8" spans="1:6" x14ac:dyDescent="0.25">
      <c r="A8" s="2" t="s">
        <v>8</v>
      </c>
      <c r="B8" s="5">
        <v>25000</v>
      </c>
    </row>
    <row r="10" spans="1:6" ht="15.75" x14ac:dyDescent="0.25">
      <c r="A10" s="1" t="s">
        <v>9</v>
      </c>
    </row>
    <row r="12" spans="1:6" ht="30" customHeight="1" x14ac:dyDescent="0.25">
      <c r="A12" s="31" t="s">
        <v>10</v>
      </c>
      <c r="B12" s="28"/>
      <c r="C12" s="28"/>
      <c r="D12" s="28"/>
      <c r="E12" s="27">
        <f ca="1">IF(B6="","",B6-TODAY())</f>
        <v>284</v>
      </c>
      <c r="F12" s="28"/>
    </row>
    <row r="14" spans="1:6" ht="30" customHeight="1" x14ac:dyDescent="0.25">
      <c r="A14" s="37" t="s">
        <v>11</v>
      </c>
      <c r="B14" s="35"/>
      <c r="C14" s="35"/>
      <c r="D14" s="35"/>
      <c r="E14" s="34">
        <f>B8-SUM(BUDGET!D6:D65)</f>
        <v>6001</v>
      </c>
      <c r="F14" s="35"/>
    </row>
    <row r="16" spans="1:6" ht="30" customHeight="1" x14ac:dyDescent="0.25">
      <c r="A16" s="36" t="s">
        <v>12</v>
      </c>
      <c r="B16" s="30"/>
      <c r="C16" s="30"/>
      <c r="D16" s="30"/>
      <c r="E16" s="29">
        <f>IF(COUNTA(CHECKLISTE!E6:E70)=0,0,COUNTIF(CHECKLISTE!E6:E70,"Erledigt")/COUNTA(CHECKLISTE!E6:E70))</f>
        <v>0</v>
      </c>
      <c r="F16" s="30"/>
    </row>
    <row r="19" spans="1:2" ht="15.75" x14ac:dyDescent="0.25">
      <c r="A19" s="1" t="s">
        <v>13</v>
      </c>
    </row>
    <row r="20" spans="1:2" x14ac:dyDescent="0.25">
      <c r="A20" s="2" t="s">
        <v>8</v>
      </c>
      <c r="B20" s="6">
        <f>B8</f>
        <v>25000</v>
      </c>
    </row>
    <row r="21" spans="1:2" x14ac:dyDescent="0.25">
      <c r="A21" s="2" t="s">
        <v>14</v>
      </c>
      <c r="B21" s="6">
        <f>SUM(BUDGET!D6:D65)</f>
        <v>18999</v>
      </c>
    </row>
    <row r="22" spans="1:2" x14ac:dyDescent="0.25">
      <c r="A22" s="2" t="s">
        <v>15</v>
      </c>
      <c r="B22" s="6">
        <f>SUM(BUDGET!E6:E65)</f>
        <v>16049</v>
      </c>
    </row>
    <row r="23" spans="1:2" x14ac:dyDescent="0.25">
      <c r="A23" s="2" t="s">
        <v>16</v>
      </c>
      <c r="B23" s="6">
        <f>SUM(BUDGET!F6:F65)</f>
        <v>3299</v>
      </c>
    </row>
    <row r="24" spans="1:2" x14ac:dyDescent="0.25">
      <c r="A24" s="2" t="s">
        <v>17</v>
      </c>
      <c r="B24" s="6">
        <f>SUM(BUDGET!H6:H65)</f>
        <v>12750</v>
      </c>
    </row>
    <row r="25" spans="1:2" x14ac:dyDescent="0.25">
      <c r="A25" s="2" t="s">
        <v>18</v>
      </c>
      <c r="B25" s="7">
        <f>B20-B21</f>
        <v>6001</v>
      </c>
    </row>
    <row r="28" spans="1:2" ht="15.75" x14ac:dyDescent="0.25">
      <c r="A28" s="1" t="s">
        <v>19</v>
      </c>
    </row>
    <row r="29" spans="1:2" x14ac:dyDescent="0.25">
      <c r="A29" s="2" t="s">
        <v>20</v>
      </c>
      <c r="B29" s="8">
        <f>COUNTA(CHECKLISTE!E6:E70)</f>
        <v>48</v>
      </c>
    </row>
    <row r="30" spans="1:2" x14ac:dyDescent="0.25">
      <c r="A30" s="2" t="s">
        <v>21</v>
      </c>
      <c r="B30" s="8">
        <f>COUNTIF(CHECKLISTE!E6:E70,"Erledigt")</f>
        <v>0</v>
      </c>
    </row>
    <row r="31" spans="1:2" x14ac:dyDescent="0.25">
      <c r="A31" s="2" t="s">
        <v>22</v>
      </c>
      <c r="B31" s="8">
        <f>COUNTIF(CHECKLISTE!E6:E70,"In Arbeit")</f>
        <v>0</v>
      </c>
    </row>
    <row r="32" spans="1:2" x14ac:dyDescent="0.25">
      <c r="A32" s="2" t="s">
        <v>23</v>
      </c>
      <c r="B32" s="8">
        <f>COUNTIF(CHECKLISTE!E6:E70,"Offen")</f>
        <v>48</v>
      </c>
    </row>
    <row r="35" spans="1:5" ht="15.75" x14ac:dyDescent="0.25">
      <c r="A35" s="1" t="s">
        <v>24</v>
      </c>
    </row>
    <row r="36" spans="1:5" x14ac:dyDescent="0.25">
      <c r="A36" s="9" t="s">
        <v>25</v>
      </c>
    </row>
    <row r="37" spans="1:5" x14ac:dyDescent="0.25">
      <c r="A37" s="10" t="s">
        <v>26</v>
      </c>
      <c r="B37" s="10" t="s">
        <v>27</v>
      </c>
      <c r="C37" s="10" t="s">
        <v>28</v>
      </c>
      <c r="D37" s="10" t="s">
        <v>23</v>
      </c>
      <c r="E37" s="10" t="s">
        <v>29</v>
      </c>
    </row>
    <row r="38" spans="1:5" x14ac:dyDescent="0.25">
      <c r="A38" s="11" t="str">
        <f>EVENTS!B6</f>
        <v>Standesamt</v>
      </c>
      <c r="B38" s="12">
        <f>COUNTIF(GÄSTELISTE!K6:K305,"Zusage")</f>
        <v>1</v>
      </c>
      <c r="C38" s="12">
        <f>COUNTIF(GÄSTELISTE!K6:K305,"Absage")</f>
        <v>0</v>
      </c>
      <c r="D38" s="12">
        <f>COUNTIF(GÄSTELISTE!K6:K305,"Offen")</f>
        <v>0</v>
      </c>
      <c r="E38" s="12">
        <f>COUNTIF(GÄSTELISTE!K6:K305,"Eingeladen")</f>
        <v>2</v>
      </c>
    </row>
    <row r="39" spans="1:5" x14ac:dyDescent="0.25">
      <c r="A39" s="8" t="str">
        <f>EVENTS!B7</f>
        <v>Welcome Dinner</v>
      </c>
      <c r="B39" s="13">
        <f>COUNTIF(GÄSTELISTE!L6:L305,"Zusage")</f>
        <v>1</v>
      </c>
      <c r="C39" s="13">
        <f>COUNTIF(GÄSTELISTE!L6:L305,"Absage")</f>
        <v>2</v>
      </c>
      <c r="D39" s="13">
        <f>COUNTIF(GÄSTELISTE!L6:L305,"Offen")</f>
        <v>0</v>
      </c>
      <c r="E39" s="13">
        <f>COUNTIF(GÄSTELISTE!L6:L305,"Eingeladen")</f>
        <v>0</v>
      </c>
    </row>
    <row r="40" spans="1:5" x14ac:dyDescent="0.25">
      <c r="A40" s="11" t="str">
        <f>EVENTS!B8</f>
        <v>Freie Trauung</v>
      </c>
      <c r="B40" s="12">
        <f>COUNTIF(GÄSTELISTE!M6:M305,"Zusage")</f>
        <v>3</v>
      </c>
      <c r="C40" s="12">
        <f>COUNTIF(GÄSTELISTE!M6:M305,"Absage")</f>
        <v>0</v>
      </c>
      <c r="D40" s="12">
        <f>COUNTIF(GÄSTELISTE!M6:M305,"Offen")</f>
        <v>0</v>
      </c>
      <c r="E40" s="12">
        <f>COUNTIF(GÄSTELISTE!M6:M305,"Eingeladen")</f>
        <v>0</v>
      </c>
    </row>
    <row r="41" spans="1:5" x14ac:dyDescent="0.25">
      <c r="A41" s="8" t="str">
        <f>EVENTS!B9</f>
        <v>Hochzeitsfeier</v>
      </c>
      <c r="B41" s="13">
        <f>COUNTIF(GÄSTELISTE!N6:N305,"Zusage")</f>
        <v>3</v>
      </c>
      <c r="C41" s="13">
        <f>COUNTIF(GÄSTELISTE!N6:N305,"Absage")</f>
        <v>0</v>
      </c>
      <c r="D41" s="13">
        <f>COUNTIF(GÄSTELISTE!N6:N305,"Offen")</f>
        <v>0</v>
      </c>
      <c r="E41" s="13">
        <f>COUNTIF(GÄSTELISTE!N6:N305,"Eingeladen")</f>
        <v>0</v>
      </c>
    </row>
    <row r="42" spans="1:5" x14ac:dyDescent="0.25">
      <c r="A42" s="11" t="str">
        <f>EVENTS!B10</f>
        <v>Brunch</v>
      </c>
      <c r="B42" s="12">
        <f>COUNTIF(GÄSTELISTE!O6:O305,"Zusage")</f>
        <v>1</v>
      </c>
      <c r="C42" s="12">
        <f>COUNTIF(GÄSTELISTE!O6:O305,"Absage")</f>
        <v>2</v>
      </c>
      <c r="D42" s="12">
        <f>COUNTIF(GÄSTELISTE!O6:O305,"Offen")</f>
        <v>0</v>
      </c>
      <c r="E42" s="12">
        <f>COUNTIF(GÄSTELISTE!O6:O305,"Eingeladen")</f>
        <v>0</v>
      </c>
    </row>
    <row r="44" spans="1:5" x14ac:dyDescent="0.25">
      <c r="A44" s="2" t="s">
        <v>30</v>
      </c>
      <c r="B44" s="14">
        <f>COUNTA(GÄSTELISTE!C6:C305)</f>
        <v>3</v>
      </c>
    </row>
    <row r="47" spans="1:5" x14ac:dyDescent="0.25">
      <c r="A47" s="9" t="s">
        <v>31</v>
      </c>
    </row>
  </sheetData>
  <mergeCells count="8">
    <mergeCell ref="A2:F2"/>
    <mergeCell ref="E12:F12"/>
    <mergeCell ref="E16:F16"/>
    <mergeCell ref="A12:D12"/>
    <mergeCell ref="A1:F1"/>
    <mergeCell ref="E14:F14"/>
    <mergeCell ref="A16:D16"/>
    <mergeCell ref="A14:D14"/>
  </mergeCells>
  <conditionalFormatting sqref="B25">
    <cfRule type="cellIs" dxfId="8" priority="1" operator="lessThan">
      <formula>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C9885"/>
  </sheetPr>
  <dimension ref="A1:F30"/>
  <sheetViews>
    <sheetView showGridLines="0" topLeftCell="A13" workbookViewId="0">
      <selection activeCell="B22" sqref="B22"/>
    </sheetView>
  </sheetViews>
  <sheetFormatPr baseColWidth="10" defaultColWidth="9.140625" defaultRowHeight="15" x14ac:dyDescent="0.25"/>
  <cols>
    <col min="1" max="1" width="4" customWidth="1"/>
    <col min="2" max="2" width="104" customWidth="1"/>
  </cols>
  <sheetData>
    <row r="1" spans="1:6" ht="33.950000000000003" customHeight="1" x14ac:dyDescent="0.25">
      <c r="A1" s="32" t="s">
        <v>32</v>
      </c>
      <c r="B1" s="33"/>
      <c r="C1" s="33"/>
      <c r="D1" s="33"/>
      <c r="E1" s="33"/>
      <c r="F1" s="33"/>
    </row>
    <row r="4" spans="1:6" ht="15.75" x14ac:dyDescent="0.25">
      <c r="B4" s="1" t="s">
        <v>33</v>
      </c>
    </row>
    <row r="5" spans="1:6" ht="27.95" customHeight="1" x14ac:dyDescent="0.25">
      <c r="B5" s="15" t="s">
        <v>34</v>
      </c>
    </row>
    <row r="6" spans="1:6" ht="27.95" customHeight="1" x14ac:dyDescent="0.25">
      <c r="B6" s="15" t="s">
        <v>35</v>
      </c>
    </row>
    <row r="7" spans="1:6" ht="27.95" customHeight="1" x14ac:dyDescent="0.25">
      <c r="B7" s="15" t="s">
        <v>36</v>
      </c>
    </row>
    <row r="8" spans="1:6" ht="15.75" x14ac:dyDescent="0.25">
      <c r="B8" s="1" t="s">
        <v>37</v>
      </c>
    </row>
    <row r="9" spans="1:6" ht="27.95" customHeight="1" x14ac:dyDescent="0.25">
      <c r="B9" s="15" t="s">
        <v>38</v>
      </c>
    </row>
    <row r="10" spans="1:6" ht="27.95" customHeight="1" x14ac:dyDescent="0.25">
      <c r="B10" s="15" t="s">
        <v>39</v>
      </c>
    </row>
    <row r="11" spans="1:6" ht="27.95" customHeight="1" x14ac:dyDescent="0.25">
      <c r="B11" s="15" t="s">
        <v>40</v>
      </c>
    </row>
    <row r="12" spans="1:6" ht="27.95" customHeight="1" x14ac:dyDescent="0.25">
      <c r="B12" s="15" t="s">
        <v>41</v>
      </c>
    </row>
    <row r="13" spans="1:6" ht="27.95" customHeight="1" x14ac:dyDescent="0.25">
      <c r="B13" s="15" t="s">
        <v>42</v>
      </c>
    </row>
    <row r="14" spans="1:6" ht="15.75" x14ac:dyDescent="0.25">
      <c r="B14" s="1" t="s">
        <v>43</v>
      </c>
    </row>
    <row r="15" spans="1:6" ht="27.95" customHeight="1" x14ac:dyDescent="0.25">
      <c r="B15" s="15" t="s">
        <v>44</v>
      </c>
    </row>
    <row r="16" spans="1:6" ht="51.75" customHeight="1" x14ac:dyDescent="0.25">
      <c r="B16" s="15" t="s">
        <v>269</v>
      </c>
    </row>
    <row r="17" spans="2:2" ht="15.75" x14ac:dyDescent="0.25">
      <c r="B17" s="1" t="s">
        <v>45</v>
      </c>
    </row>
    <row r="18" spans="2:2" ht="27.95" customHeight="1" x14ac:dyDescent="0.25">
      <c r="B18" s="15" t="s">
        <v>270</v>
      </c>
    </row>
    <row r="19" spans="2:2" ht="27.95" customHeight="1" x14ac:dyDescent="0.25">
      <c r="B19" s="15" t="s">
        <v>46</v>
      </c>
    </row>
    <row r="20" spans="2:2" ht="27.95" customHeight="1" x14ac:dyDescent="0.25">
      <c r="B20" s="15" t="s">
        <v>47</v>
      </c>
    </row>
    <row r="21" spans="2:2" ht="15.75" x14ac:dyDescent="0.25">
      <c r="B21" s="1" t="s">
        <v>48</v>
      </c>
    </row>
    <row r="22" spans="2:2" ht="27.95" customHeight="1" x14ac:dyDescent="0.25">
      <c r="B22" s="15" t="s">
        <v>49</v>
      </c>
    </row>
    <row r="23" spans="2:2" ht="27.95" customHeight="1" x14ac:dyDescent="0.25">
      <c r="B23" s="15" t="s">
        <v>50</v>
      </c>
    </row>
    <row r="24" spans="2:2" ht="15.75" x14ac:dyDescent="0.25">
      <c r="B24" s="1" t="s">
        <v>51</v>
      </c>
    </row>
    <row r="25" spans="2:2" ht="27.95" customHeight="1" x14ac:dyDescent="0.25">
      <c r="B25" s="15" t="s">
        <v>52</v>
      </c>
    </row>
    <row r="26" spans="2:2" ht="27.95" customHeight="1" x14ac:dyDescent="0.25">
      <c r="B26" s="15" t="s">
        <v>53</v>
      </c>
    </row>
    <row r="27" spans="2:2" ht="27.95" customHeight="1" x14ac:dyDescent="0.25">
      <c r="B27" s="15" t="s">
        <v>54</v>
      </c>
    </row>
    <row r="28" spans="2:2" ht="27.95" customHeight="1" x14ac:dyDescent="0.25">
      <c r="B28" s="15" t="s">
        <v>55</v>
      </c>
    </row>
    <row r="30" spans="2:2" x14ac:dyDescent="0.25">
      <c r="B30" s="9" t="s">
        <v>56</v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7C9885"/>
  </sheetPr>
  <dimension ref="A1:J12"/>
  <sheetViews>
    <sheetView showGridLines="0" workbookViewId="0">
      <pane ySplit="5" topLeftCell="A6" activePane="bottomLeft" state="frozen"/>
      <selection pane="bottomLeft" sqref="A1:F1"/>
    </sheetView>
  </sheetViews>
  <sheetFormatPr baseColWidth="10" defaultColWidth="9.140625" defaultRowHeight="15" x14ac:dyDescent="0.25"/>
  <cols>
    <col min="1" max="1" width="6" customWidth="1"/>
    <col min="2" max="2" width="26" customWidth="1"/>
    <col min="3" max="3" width="14" customWidth="1"/>
    <col min="4" max="5" width="10" customWidth="1"/>
    <col min="6" max="6" width="24" customWidth="1"/>
    <col min="7" max="7" width="30" customWidth="1"/>
    <col min="8" max="8" width="18" customWidth="1"/>
    <col min="9" max="9" width="22" customWidth="1"/>
    <col min="10" max="10" width="30" customWidth="1"/>
  </cols>
  <sheetData>
    <row r="1" spans="1:10" ht="33.950000000000003" customHeight="1" x14ac:dyDescent="0.25">
      <c r="A1" s="32" t="s">
        <v>57</v>
      </c>
      <c r="B1" s="33"/>
      <c r="C1" s="33"/>
      <c r="D1" s="33"/>
      <c r="E1" s="33"/>
      <c r="F1" s="33"/>
    </row>
    <row r="2" spans="1:10" ht="15.95" customHeight="1" x14ac:dyDescent="0.25">
      <c r="A2" s="25" t="s">
        <v>58</v>
      </c>
      <c r="B2" s="26"/>
      <c r="C2" s="26"/>
      <c r="D2" s="26"/>
      <c r="E2" s="26"/>
      <c r="F2" s="26"/>
    </row>
    <row r="5" spans="1:10" ht="30" customHeight="1" x14ac:dyDescent="0.25">
      <c r="A5" s="16" t="s">
        <v>59</v>
      </c>
      <c r="B5" s="16" t="s">
        <v>60</v>
      </c>
      <c r="C5" s="16" t="s">
        <v>61</v>
      </c>
      <c r="D5" s="16" t="s">
        <v>62</v>
      </c>
      <c r="E5" s="16" t="s">
        <v>63</v>
      </c>
      <c r="F5" s="16" t="s">
        <v>64</v>
      </c>
      <c r="G5" s="16" t="s">
        <v>65</v>
      </c>
      <c r="H5" s="16" t="s">
        <v>66</v>
      </c>
      <c r="I5" s="16" t="s">
        <v>67</v>
      </c>
      <c r="J5" s="16" t="s">
        <v>68</v>
      </c>
    </row>
    <row r="6" spans="1:10" x14ac:dyDescent="0.25">
      <c r="A6" s="11">
        <v>1</v>
      </c>
      <c r="B6" s="3" t="s">
        <v>69</v>
      </c>
      <c r="C6" s="17">
        <v>46549</v>
      </c>
      <c r="D6" s="11" t="s">
        <v>70</v>
      </c>
      <c r="E6" s="11" t="s">
        <v>71</v>
      </c>
      <c r="F6" s="11" t="s">
        <v>72</v>
      </c>
      <c r="G6" s="11" t="s">
        <v>73</v>
      </c>
      <c r="H6" s="11" t="s">
        <v>74</v>
      </c>
      <c r="I6" s="11" t="s">
        <v>75</v>
      </c>
      <c r="J6" s="11" t="s">
        <v>76</v>
      </c>
    </row>
    <row r="7" spans="1:10" x14ac:dyDescent="0.25">
      <c r="A7" s="8">
        <v>2</v>
      </c>
      <c r="B7" s="3" t="s">
        <v>77</v>
      </c>
      <c r="C7" s="18">
        <v>46549</v>
      </c>
      <c r="D7" s="8" t="s">
        <v>78</v>
      </c>
      <c r="E7" s="8" t="s">
        <v>79</v>
      </c>
      <c r="F7" s="8" t="s">
        <v>80</v>
      </c>
      <c r="G7" s="8" t="s">
        <v>81</v>
      </c>
      <c r="H7" s="8" t="s">
        <v>82</v>
      </c>
      <c r="I7" s="8" t="s">
        <v>83</v>
      </c>
      <c r="J7" s="8" t="s">
        <v>84</v>
      </c>
    </row>
    <row r="8" spans="1:10" x14ac:dyDescent="0.25">
      <c r="A8" s="11">
        <v>3</v>
      </c>
      <c r="B8" s="3" t="s">
        <v>85</v>
      </c>
      <c r="C8" s="17">
        <v>46550</v>
      </c>
      <c r="D8" s="11" t="s">
        <v>86</v>
      </c>
      <c r="E8" s="11" t="s">
        <v>87</v>
      </c>
      <c r="F8" s="11" t="s">
        <v>88</v>
      </c>
      <c r="G8" s="11" t="s">
        <v>89</v>
      </c>
      <c r="H8" s="11" t="s">
        <v>90</v>
      </c>
      <c r="I8" s="11" t="s">
        <v>91</v>
      </c>
      <c r="J8" s="11" t="s">
        <v>92</v>
      </c>
    </row>
    <row r="9" spans="1:10" x14ac:dyDescent="0.25">
      <c r="A9" s="8">
        <v>4</v>
      </c>
      <c r="B9" s="3" t="s">
        <v>93</v>
      </c>
      <c r="C9" s="18">
        <v>46550</v>
      </c>
      <c r="D9" s="8" t="s">
        <v>94</v>
      </c>
      <c r="E9" s="8" t="s">
        <v>95</v>
      </c>
      <c r="F9" s="8" t="s">
        <v>96</v>
      </c>
      <c r="G9" s="8" t="s">
        <v>89</v>
      </c>
      <c r="H9" s="8" t="s">
        <v>90</v>
      </c>
      <c r="I9" s="8" t="s">
        <v>97</v>
      </c>
      <c r="J9" s="8" t="s">
        <v>92</v>
      </c>
    </row>
    <row r="10" spans="1:10" x14ac:dyDescent="0.25">
      <c r="A10" s="11">
        <v>5</v>
      </c>
      <c r="B10" s="3" t="s">
        <v>98</v>
      </c>
      <c r="C10" s="17">
        <v>46551</v>
      </c>
      <c r="D10" s="11" t="s">
        <v>99</v>
      </c>
      <c r="E10" s="11" t="s">
        <v>86</v>
      </c>
      <c r="F10" s="11" t="s">
        <v>100</v>
      </c>
      <c r="G10" s="11" t="s">
        <v>89</v>
      </c>
      <c r="H10" s="11" t="s">
        <v>101</v>
      </c>
      <c r="I10" s="11" t="s">
        <v>97</v>
      </c>
      <c r="J10" s="11" t="s">
        <v>102</v>
      </c>
    </row>
    <row r="12" spans="1:10" x14ac:dyDescent="0.25">
      <c r="A12" s="9" t="s">
        <v>103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7C9885"/>
  </sheetPr>
  <dimension ref="A1:Q305"/>
  <sheetViews>
    <sheetView showGridLines="0" workbookViewId="0">
      <pane ySplit="5" topLeftCell="A6" activePane="bottomLeft" state="frozen"/>
      <selection pane="bottomLeft" sqref="A1:F1"/>
    </sheetView>
  </sheetViews>
  <sheetFormatPr baseColWidth="10" defaultColWidth="9.140625" defaultRowHeight="15" x14ac:dyDescent="0.25"/>
  <cols>
    <col min="1" max="1" width="6" customWidth="1"/>
    <col min="2" max="2" width="16" customWidth="1"/>
    <col min="3" max="3" width="18" customWidth="1"/>
    <col min="4" max="4" width="26" customWidth="1"/>
    <col min="5" max="5" width="16" customWidth="1"/>
    <col min="6" max="6" width="18" customWidth="1"/>
    <col min="7" max="7" width="12" customWidth="1"/>
    <col min="8" max="8" width="18" customWidth="1"/>
    <col min="9" max="9" width="26" customWidth="1"/>
    <col min="10" max="10" width="14" customWidth="1"/>
    <col min="11" max="15" width="16" customWidth="1"/>
    <col min="16" max="16" width="28" customWidth="1"/>
    <col min="17" max="17" width="24" customWidth="1"/>
  </cols>
  <sheetData>
    <row r="1" spans="1:17" ht="33.950000000000003" customHeight="1" x14ac:dyDescent="0.25">
      <c r="A1" s="32" t="s">
        <v>104</v>
      </c>
      <c r="B1" s="33"/>
      <c r="C1" s="33"/>
      <c r="D1" s="33"/>
      <c r="E1" s="33"/>
      <c r="F1" s="33"/>
    </row>
    <row r="2" spans="1:17" ht="15.95" customHeight="1" x14ac:dyDescent="0.25">
      <c r="A2" s="25" t="s">
        <v>105</v>
      </c>
      <c r="B2" s="26"/>
      <c r="C2" s="26"/>
      <c r="D2" s="26"/>
      <c r="E2" s="26"/>
      <c r="F2" s="26"/>
    </row>
    <row r="5" spans="1:17" ht="30" customHeight="1" x14ac:dyDescent="0.25">
      <c r="A5" s="16" t="s">
        <v>59</v>
      </c>
      <c r="B5" s="16" t="s">
        <v>106</v>
      </c>
      <c r="C5" s="16" t="s">
        <v>107</v>
      </c>
      <c r="D5" s="16" t="s">
        <v>108</v>
      </c>
      <c r="E5" s="16" t="s">
        <v>109</v>
      </c>
      <c r="F5" s="16" t="s">
        <v>110</v>
      </c>
      <c r="G5" s="16" t="s">
        <v>111</v>
      </c>
      <c r="H5" s="16" t="s">
        <v>112</v>
      </c>
      <c r="I5" s="16" t="s">
        <v>113</v>
      </c>
      <c r="J5" s="16" t="s">
        <v>114</v>
      </c>
      <c r="K5" s="19" t="str">
        <f>EVENTS!B6</f>
        <v>Standesamt</v>
      </c>
      <c r="L5" s="19" t="str">
        <f>EVENTS!B7</f>
        <v>Welcome Dinner</v>
      </c>
      <c r="M5" s="19" t="str">
        <f>EVENTS!B8</f>
        <v>Freie Trauung</v>
      </c>
      <c r="N5" s="19" t="str">
        <f>EVENTS!B9</f>
        <v>Hochzeitsfeier</v>
      </c>
      <c r="O5" s="19" t="str">
        <f>EVENTS!B10</f>
        <v>Brunch</v>
      </c>
      <c r="P5" s="20" t="s">
        <v>68</v>
      </c>
      <c r="Q5" s="16" t="s">
        <v>115</v>
      </c>
    </row>
    <row r="6" spans="1:17" x14ac:dyDescent="0.25">
      <c r="A6" s="11">
        <v>1</v>
      </c>
      <c r="B6" s="11" t="s">
        <v>116</v>
      </c>
      <c r="C6" s="11" t="s">
        <v>117</v>
      </c>
      <c r="D6" s="11" t="s">
        <v>118</v>
      </c>
      <c r="E6" s="11" t="s">
        <v>119</v>
      </c>
      <c r="F6" s="11" t="s">
        <v>120</v>
      </c>
      <c r="G6" s="11" t="s">
        <v>121</v>
      </c>
      <c r="H6" s="11" t="s">
        <v>122</v>
      </c>
      <c r="I6" s="11" t="s">
        <v>123</v>
      </c>
      <c r="J6" s="11" t="s">
        <v>124</v>
      </c>
      <c r="K6" s="11" t="s">
        <v>125</v>
      </c>
      <c r="L6" s="11" t="s">
        <v>125</v>
      </c>
      <c r="M6" s="11" t="s">
        <v>125</v>
      </c>
      <c r="N6" s="11" t="s">
        <v>125</v>
      </c>
      <c r="O6" s="11" t="s">
        <v>125</v>
      </c>
      <c r="P6" s="11" t="s">
        <v>126</v>
      </c>
      <c r="Q6" s="21" t="str">
        <f t="shared" ref="Q6:Q69" si="0">IF(B6="","",B6&amp;" "&amp;C6)</f>
        <v>Maria Schmidt</v>
      </c>
    </row>
    <row r="7" spans="1:17" x14ac:dyDescent="0.25">
      <c r="A7" s="8">
        <v>2</v>
      </c>
      <c r="B7" s="8" t="s">
        <v>127</v>
      </c>
      <c r="C7" s="8" t="s">
        <v>128</v>
      </c>
      <c r="D7" s="8" t="s">
        <v>129</v>
      </c>
      <c r="E7" s="8" t="s">
        <v>130</v>
      </c>
      <c r="F7" s="8" t="s">
        <v>131</v>
      </c>
      <c r="G7" s="8" t="s">
        <v>121</v>
      </c>
      <c r="H7" s="8" t="s">
        <v>132</v>
      </c>
      <c r="I7" s="8"/>
      <c r="J7" s="8" t="s">
        <v>133</v>
      </c>
      <c r="K7" s="8" t="s">
        <v>29</v>
      </c>
      <c r="L7" s="8" t="s">
        <v>134</v>
      </c>
      <c r="M7" s="8" t="s">
        <v>125</v>
      </c>
      <c r="N7" s="8" t="s">
        <v>125</v>
      </c>
      <c r="O7" s="8" t="s">
        <v>134</v>
      </c>
      <c r="P7" s="8" t="s">
        <v>135</v>
      </c>
      <c r="Q7" s="22" t="str">
        <f t="shared" si="0"/>
        <v>Jonas Weber</v>
      </c>
    </row>
    <row r="8" spans="1:17" x14ac:dyDescent="0.25">
      <c r="A8" s="11">
        <v>3</v>
      </c>
      <c r="B8" s="11" t="s">
        <v>136</v>
      </c>
      <c r="C8" s="11" t="s">
        <v>128</v>
      </c>
      <c r="D8" s="11"/>
      <c r="E8" s="11"/>
      <c r="F8" s="11" t="s">
        <v>131</v>
      </c>
      <c r="G8" s="11" t="s">
        <v>137</v>
      </c>
      <c r="H8" s="11" t="s">
        <v>138</v>
      </c>
      <c r="I8" s="11" t="s">
        <v>139</v>
      </c>
      <c r="J8" s="11" t="s">
        <v>133</v>
      </c>
      <c r="K8" s="11" t="s">
        <v>29</v>
      </c>
      <c r="L8" s="11" t="s">
        <v>134</v>
      </c>
      <c r="M8" s="11" t="s">
        <v>125</v>
      </c>
      <c r="N8" s="11" t="s">
        <v>125</v>
      </c>
      <c r="O8" s="11" t="s">
        <v>134</v>
      </c>
      <c r="P8" s="11" t="s">
        <v>92</v>
      </c>
      <c r="Q8" s="21" t="str">
        <f t="shared" si="0"/>
        <v>Lina Weber</v>
      </c>
    </row>
    <row r="9" spans="1:17" x14ac:dyDescent="0.25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22" t="str">
        <f t="shared" si="0"/>
        <v/>
      </c>
    </row>
    <row r="10" spans="1:17" x14ac:dyDescent="0.25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21" t="str">
        <f t="shared" si="0"/>
        <v/>
      </c>
    </row>
    <row r="11" spans="1:17" x14ac:dyDescent="0.25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22" t="str">
        <f t="shared" si="0"/>
        <v/>
      </c>
    </row>
    <row r="12" spans="1:17" x14ac:dyDescent="0.25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21" t="str">
        <f t="shared" si="0"/>
        <v/>
      </c>
    </row>
    <row r="13" spans="1:17" x14ac:dyDescent="0.25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22" t="str">
        <f t="shared" si="0"/>
        <v/>
      </c>
    </row>
    <row r="14" spans="1:17" x14ac:dyDescent="0.25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21" t="str">
        <f t="shared" si="0"/>
        <v/>
      </c>
    </row>
    <row r="15" spans="1:17" x14ac:dyDescent="0.25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22" t="str">
        <f t="shared" si="0"/>
        <v/>
      </c>
    </row>
    <row r="16" spans="1:17" x14ac:dyDescent="0.25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21" t="str">
        <f t="shared" si="0"/>
        <v/>
      </c>
    </row>
    <row r="17" spans="1:17" x14ac:dyDescent="0.25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22" t="str">
        <f t="shared" si="0"/>
        <v/>
      </c>
    </row>
    <row r="18" spans="1:17" x14ac:dyDescent="0.25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21" t="str">
        <f t="shared" si="0"/>
        <v/>
      </c>
    </row>
    <row r="19" spans="1:17" x14ac:dyDescent="0.25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22" t="str">
        <f t="shared" si="0"/>
        <v/>
      </c>
    </row>
    <row r="20" spans="1:17" x14ac:dyDescent="0.25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21" t="str">
        <f t="shared" si="0"/>
        <v/>
      </c>
    </row>
    <row r="21" spans="1:17" x14ac:dyDescent="0.25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22" t="str">
        <f t="shared" si="0"/>
        <v/>
      </c>
    </row>
    <row r="22" spans="1:17" x14ac:dyDescent="0.25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21" t="str">
        <f t="shared" si="0"/>
        <v/>
      </c>
    </row>
    <row r="23" spans="1:17" x14ac:dyDescent="0.25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22" t="str">
        <f t="shared" si="0"/>
        <v/>
      </c>
    </row>
    <row r="24" spans="1:17" x14ac:dyDescent="0.25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21" t="str">
        <f t="shared" si="0"/>
        <v/>
      </c>
    </row>
    <row r="25" spans="1:17" x14ac:dyDescent="0.25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22" t="str">
        <f t="shared" si="0"/>
        <v/>
      </c>
    </row>
    <row r="26" spans="1:17" x14ac:dyDescent="0.25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21" t="str">
        <f t="shared" si="0"/>
        <v/>
      </c>
    </row>
    <row r="27" spans="1:17" x14ac:dyDescent="0.25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22" t="str">
        <f t="shared" si="0"/>
        <v/>
      </c>
    </row>
    <row r="28" spans="1:17" x14ac:dyDescent="0.25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21" t="str">
        <f t="shared" si="0"/>
        <v/>
      </c>
    </row>
    <row r="29" spans="1:17" x14ac:dyDescent="0.25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22" t="str">
        <f t="shared" si="0"/>
        <v/>
      </c>
    </row>
    <row r="30" spans="1:17" x14ac:dyDescent="0.25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21" t="str">
        <f t="shared" si="0"/>
        <v/>
      </c>
    </row>
    <row r="31" spans="1:17" x14ac:dyDescent="0.25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22" t="str">
        <f t="shared" si="0"/>
        <v/>
      </c>
    </row>
    <row r="32" spans="1:17" x14ac:dyDescent="0.25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21" t="str">
        <f t="shared" si="0"/>
        <v/>
      </c>
    </row>
    <row r="33" spans="1:17" x14ac:dyDescent="0.25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22" t="str">
        <f t="shared" si="0"/>
        <v/>
      </c>
    </row>
    <row r="34" spans="1:17" x14ac:dyDescent="0.25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21" t="str">
        <f t="shared" si="0"/>
        <v/>
      </c>
    </row>
    <row r="35" spans="1:17" x14ac:dyDescent="0.2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22" t="str">
        <f t="shared" si="0"/>
        <v/>
      </c>
    </row>
    <row r="36" spans="1:17" x14ac:dyDescent="0.25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21" t="str">
        <f t="shared" si="0"/>
        <v/>
      </c>
    </row>
    <row r="37" spans="1:17" x14ac:dyDescent="0.25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22" t="str">
        <f t="shared" si="0"/>
        <v/>
      </c>
    </row>
    <row r="38" spans="1:17" x14ac:dyDescent="0.25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21" t="str">
        <f t="shared" si="0"/>
        <v/>
      </c>
    </row>
    <row r="39" spans="1:17" x14ac:dyDescent="0.25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22" t="str">
        <f t="shared" si="0"/>
        <v/>
      </c>
    </row>
    <row r="40" spans="1:17" x14ac:dyDescent="0.25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21" t="str">
        <f t="shared" si="0"/>
        <v/>
      </c>
    </row>
    <row r="41" spans="1:17" x14ac:dyDescent="0.25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22" t="str">
        <f t="shared" si="0"/>
        <v/>
      </c>
    </row>
    <row r="42" spans="1:17" x14ac:dyDescent="0.25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21" t="str">
        <f t="shared" si="0"/>
        <v/>
      </c>
    </row>
    <row r="43" spans="1:17" x14ac:dyDescent="0.25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22" t="str">
        <f t="shared" si="0"/>
        <v/>
      </c>
    </row>
    <row r="44" spans="1:17" x14ac:dyDescent="0.25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21" t="str">
        <f t="shared" si="0"/>
        <v/>
      </c>
    </row>
    <row r="45" spans="1:17" x14ac:dyDescent="0.2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22" t="str">
        <f t="shared" si="0"/>
        <v/>
      </c>
    </row>
    <row r="46" spans="1:17" x14ac:dyDescent="0.25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21" t="str">
        <f t="shared" si="0"/>
        <v/>
      </c>
    </row>
    <row r="47" spans="1:17" x14ac:dyDescent="0.25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22" t="str">
        <f t="shared" si="0"/>
        <v/>
      </c>
    </row>
    <row r="48" spans="1:17" x14ac:dyDescent="0.25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21" t="str">
        <f t="shared" si="0"/>
        <v/>
      </c>
    </row>
    <row r="49" spans="1:17" x14ac:dyDescent="0.25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22" t="str">
        <f t="shared" si="0"/>
        <v/>
      </c>
    </row>
    <row r="50" spans="1:17" x14ac:dyDescent="0.25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21" t="str">
        <f t="shared" si="0"/>
        <v/>
      </c>
    </row>
    <row r="51" spans="1:17" x14ac:dyDescent="0.25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22" t="str">
        <f t="shared" si="0"/>
        <v/>
      </c>
    </row>
    <row r="52" spans="1:17" x14ac:dyDescent="0.25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21" t="str">
        <f t="shared" si="0"/>
        <v/>
      </c>
    </row>
    <row r="53" spans="1:17" x14ac:dyDescent="0.25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22" t="str">
        <f t="shared" si="0"/>
        <v/>
      </c>
    </row>
    <row r="54" spans="1:17" x14ac:dyDescent="0.25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21" t="str">
        <f t="shared" si="0"/>
        <v/>
      </c>
    </row>
    <row r="55" spans="1:17" x14ac:dyDescent="0.2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22" t="str">
        <f t="shared" si="0"/>
        <v/>
      </c>
    </row>
    <row r="56" spans="1:17" x14ac:dyDescent="0.25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21" t="str">
        <f t="shared" si="0"/>
        <v/>
      </c>
    </row>
    <row r="57" spans="1:17" x14ac:dyDescent="0.25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22" t="str">
        <f t="shared" si="0"/>
        <v/>
      </c>
    </row>
    <row r="58" spans="1:17" x14ac:dyDescent="0.25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21" t="str">
        <f t="shared" si="0"/>
        <v/>
      </c>
    </row>
    <row r="59" spans="1:17" x14ac:dyDescent="0.25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22" t="str">
        <f t="shared" si="0"/>
        <v/>
      </c>
    </row>
    <row r="60" spans="1:17" x14ac:dyDescent="0.25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21" t="str">
        <f t="shared" si="0"/>
        <v/>
      </c>
    </row>
    <row r="61" spans="1:17" x14ac:dyDescent="0.25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22" t="str">
        <f t="shared" si="0"/>
        <v/>
      </c>
    </row>
    <row r="62" spans="1:17" x14ac:dyDescent="0.25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21" t="str">
        <f t="shared" si="0"/>
        <v/>
      </c>
    </row>
    <row r="63" spans="1:17" x14ac:dyDescent="0.25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22" t="str">
        <f t="shared" si="0"/>
        <v/>
      </c>
    </row>
    <row r="64" spans="1:17" x14ac:dyDescent="0.25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21" t="str">
        <f t="shared" si="0"/>
        <v/>
      </c>
    </row>
    <row r="65" spans="1:17" x14ac:dyDescent="0.2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22" t="str">
        <f t="shared" si="0"/>
        <v/>
      </c>
    </row>
    <row r="66" spans="1:17" x14ac:dyDescent="0.25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21" t="str">
        <f t="shared" si="0"/>
        <v/>
      </c>
    </row>
    <row r="67" spans="1:17" x14ac:dyDescent="0.25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22" t="str">
        <f t="shared" si="0"/>
        <v/>
      </c>
    </row>
    <row r="68" spans="1:17" x14ac:dyDescent="0.25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21" t="str">
        <f t="shared" si="0"/>
        <v/>
      </c>
    </row>
    <row r="69" spans="1:17" x14ac:dyDescent="0.25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22" t="str">
        <f t="shared" si="0"/>
        <v/>
      </c>
    </row>
    <row r="70" spans="1:17" x14ac:dyDescent="0.25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21" t="str">
        <f t="shared" ref="Q70:Q133" si="1">IF(B70="","",B70&amp;" "&amp;C70)</f>
        <v/>
      </c>
    </row>
    <row r="71" spans="1:17" x14ac:dyDescent="0.25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22" t="str">
        <f t="shared" si="1"/>
        <v/>
      </c>
    </row>
    <row r="72" spans="1:17" x14ac:dyDescent="0.25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21" t="str">
        <f t="shared" si="1"/>
        <v/>
      </c>
    </row>
    <row r="73" spans="1:17" x14ac:dyDescent="0.25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22" t="str">
        <f t="shared" si="1"/>
        <v/>
      </c>
    </row>
    <row r="74" spans="1:17" x14ac:dyDescent="0.25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21" t="str">
        <f t="shared" si="1"/>
        <v/>
      </c>
    </row>
    <row r="75" spans="1:17" x14ac:dyDescent="0.2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22" t="str">
        <f t="shared" si="1"/>
        <v/>
      </c>
    </row>
    <row r="76" spans="1:17" x14ac:dyDescent="0.25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21" t="str">
        <f t="shared" si="1"/>
        <v/>
      </c>
    </row>
    <row r="77" spans="1:17" x14ac:dyDescent="0.25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22" t="str">
        <f t="shared" si="1"/>
        <v/>
      </c>
    </row>
    <row r="78" spans="1:17" x14ac:dyDescent="0.25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21" t="str">
        <f t="shared" si="1"/>
        <v/>
      </c>
    </row>
    <row r="79" spans="1:17" x14ac:dyDescent="0.25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22" t="str">
        <f t="shared" si="1"/>
        <v/>
      </c>
    </row>
    <row r="80" spans="1:17" x14ac:dyDescent="0.25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21" t="str">
        <f t="shared" si="1"/>
        <v/>
      </c>
    </row>
    <row r="81" spans="1:17" x14ac:dyDescent="0.25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22" t="str">
        <f t="shared" si="1"/>
        <v/>
      </c>
    </row>
    <row r="82" spans="1:17" x14ac:dyDescent="0.25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21" t="str">
        <f t="shared" si="1"/>
        <v/>
      </c>
    </row>
    <row r="83" spans="1:17" x14ac:dyDescent="0.25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22" t="str">
        <f t="shared" si="1"/>
        <v/>
      </c>
    </row>
    <row r="84" spans="1:17" x14ac:dyDescent="0.25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21" t="str">
        <f t="shared" si="1"/>
        <v/>
      </c>
    </row>
    <row r="85" spans="1:17" x14ac:dyDescent="0.2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22" t="str">
        <f t="shared" si="1"/>
        <v/>
      </c>
    </row>
    <row r="86" spans="1:17" x14ac:dyDescent="0.25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21" t="str">
        <f t="shared" si="1"/>
        <v/>
      </c>
    </row>
    <row r="87" spans="1:17" x14ac:dyDescent="0.25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22" t="str">
        <f t="shared" si="1"/>
        <v/>
      </c>
    </row>
    <row r="88" spans="1:17" x14ac:dyDescent="0.25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21" t="str">
        <f t="shared" si="1"/>
        <v/>
      </c>
    </row>
    <row r="89" spans="1:17" x14ac:dyDescent="0.25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22" t="str">
        <f t="shared" si="1"/>
        <v/>
      </c>
    </row>
    <row r="90" spans="1:17" x14ac:dyDescent="0.25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21" t="str">
        <f t="shared" si="1"/>
        <v/>
      </c>
    </row>
    <row r="91" spans="1:17" x14ac:dyDescent="0.25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22" t="str">
        <f t="shared" si="1"/>
        <v/>
      </c>
    </row>
    <row r="92" spans="1:17" x14ac:dyDescent="0.25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21" t="str">
        <f t="shared" si="1"/>
        <v/>
      </c>
    </row>
    <row r="93" spans="1:17" x14ac:dyDescent="0.25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22" t="str">
        <f t="shared" si="1"/>
        <v/>
      </c>
    </row>
    <row r="94" spans="1:17" x14ac:dyDescent="0.25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21" t="str">
        <f t="shared" si="1"/>
        <v/>
      </c>
    </row>
    <row r="95" spans="1:17" x14ac:dyDescent="0.2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22" t="str">
        <f t="shared" si="1"/>
        <v/>
      </c>
    </row>
    <row r="96" spans="1:17" x14ac:dyDescent="0.25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21" t="str">
        <f t="shared" si="1"/>
        <v/>
      </c>
    </row>
    <row r="97" spans="1:17" x14ac:dyDescent="0.25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22" t="str">
        <f t="shared" si="1"/>
        <v/>
      </c>
    </row>
    <row r="98" spans="1:17" x14ac:dyDescent="0.25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21" t="str">
        <f t="shared" si="1"/>
        <v/>
      </c>
    </row>
    <row r="99" spans="1:17" x14ac:dyDescent="0.25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22" t="str">
        <f t="shared" si="1"/>
        <v/>
      </c>
    </row>
    <row r="100" spans="1:17" x14ac:dyDescent="0.25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21" t="str">
        <f t="shared" si="1"/>
        <v/>
      </c>
    </row>
    <row r="101" spans="1:17" x14ac:dyDescent="0.25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22" t="str">
        <f t="shared" si="1"/>
        <v/>
      </c>
    </row>
    <row r="102" spans="1:17" x14ac:dyDescent="0.25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21" t="str">
        <f t="shared" si="1"/>
        <v/>
      </c>
    </row>
    <row r="103" spans="1:17" x14ac:dyDescent="0.25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22" t="str">
        <f t="shared" si="1"/>
        <v/>
      </c>
    </row>
    <row r="104" spans="1:17" x14ac:dyDescent="0.25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21" t="str">
        <f t="shared" si="1"/>
        <v/>
      </c>
    </row>
    <row r="105" spans="1:17" x14ac:dyDescent="0.2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22" t="str">
        <f t="shared" si="1"/>
        <v/>
      </c>
    </row>
    <row r="106" spans="1:17" x14ac:dyDescent="0.25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21" t="str">
        <f t="shared" si="1"/>
        <v/>
      </c>
    </row>
    <row r="107" spans="1:17" x14ac:dyDescent="0.25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22" t="str">
        <f t="shared" si="1"/>
        <v/>
      </c>
    </row>
    <row r="108" spans="1:17" x14ac:dyDescent="0.25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21" t="str">
        <f t="shared" si="1"/>
        <v/>
      </c>
    </row>
    <row r="109" spans="1:17" x14ac:dyDescent="0.25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22" t="str">
        <f t="shared" si="1"/>
        <v/>
      </c>
    </row>
    <row r="110" spans="1:17" x14ac:dyDescent="0.25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21" t="str">
        <f t="shared" si="1"/>
        <v/>
      </c>
    </row>
    <row r="111" spans="1:17" x14ac:dyDescent="0.25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22" t="str">
        <f t="shared" si="1"/>
        <v/>
      </c>
    </row>
    <row r="112" spans="1:17" x14ac:dyDescent="0.25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21" t="str">
        <f t="shared" si="1"/>
        <v/>
      </c>
    </row>
    <row r="113" spans="1:17" x14ac:dyDescent="0.25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22" t="str">
        <f t="shared" si="1"/>
        <v/>
      </c>
    </row>
    <row r="114" spans="1:17" x14ac:dyDescent="0.25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21" t="str">
        <f t="shared" si="1"/>
        <v/>
      </c>
    </row>
    <row r="115" spans="1:17" x14ac:dyDescent="0.2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22" t="str">
        <f t="shared" si="1"/>
        <v/>
      </c>
    </row>
    <row r="116" spans="1:17" x14ac:dyDescent="0.25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21" t="str">
        <f t="shared" si="1"/>
        <v/>
      </c>
    </row>
    <row r="117" spans="1:17" x14ac:dyDescent="0.25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22" t="str">
        <f t="shared" si="1"/>
        <v/>
      </c>
    </row>
    <row r="118" spans="1:17" x14ac:dyDescent="0.25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21" t="str">
        <f t="shared" si="1"/>
        <v/>
      </c>
    </row>
    <row r="119" spans="1:17" x14ac:dyDescent="0.25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22" t="str">
        <f t="shared" si="1"/>
        <v/>
      </c>
    </row>
    <row r="120" spans="1:17" x14ac:dyDescent="0.25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21" t="str">
        <f t="shared" si="1"/>
        <v/>
      </c>
    </row>
    <row r="121" spans="1:17" x14ac:dyDescent="0.25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22" t="str">
        <f t="shared" si="1"/>
        <v/>
      </c>
    </row>
    <row r="122" spans="1:17" x14ac:dyDescent="0.25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21" t="str">
        <f t="shared" si="1"/>
        <v/>
      </c>
    </row>
    <row r="123" spans="1:17" x14ac:dyDescent="0.25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22" t="str">
        <f t="shared" si="1"/>
        <v/>
      </c>
    </row>
    <row r="124" spans="1:17" x14ac:dyDescent="0.25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21" t="str">
        <f t="shared" si="1"/>
        <v/>
      </c>
    </row>
    <row r="125" spans="1:17" x14ac:dyDescent="0.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22" t="str">
        <f t="shared" si="1"/>
        <v/>
      </c>
    </row>
    <row r="126" spans="1:17" x14ac:dyDescent="0.25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21" t="str">
        <f t="shared" si="1"/>
        <v/>
      </c>
    </row>
    <row r="127" spans="1:17" x14ac:dyDescent="0.25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22" t="str">
        <f t="shared" si="1"/>
        <v/>
      </c>
    </row>
    <row r="128" spans="1:17" x14ac:dyDescent="0.25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21" t="str">
        <f t="shared" si="1"/>
        <v/>
      </c>
    </row>
    <row r="129" spans="1:17" x14ac:dyDescent="0.25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22" t="str">
        <f t="shared" si="1"/>
        <v/>
      </c>
    </row>
    <row r="130" spans="1:17" x14ac:dyDescent="0.25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21" t="str">
        <f t="shared" si="1"/>
        <v/>
      </c>
    </row>
    <row r="131" spans="1:17" x14ac:dyDescent="0.25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22" t="str">
        <f t="shared" si="1"/>
        <v/>
      </c>
    </row>
    <row r="132" spans="1:17" x14ac:dyDescent="0.25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21" t="str">
        <f t="shared" si="1"/>
        <v/>
      </c>
    </row>
    <row r="133" spans="1:17" x14ac:dyDescent="0.25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22" t="str">
        <f t="shared" si="1"/>
        <v/>
      </c>
    </row>
    <row r="134" spans="1:17" x14ac:dyDescent="0.25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21" t="str">
        <f t="shared" ref="Q134:Q197" si="2">IF(B134="","",B134&amp;" "&amp;C134)</f>
        <v/>
      </c>
    </row>
    <row r="135" spans="1:17" x14ac:dyDescent="0.2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22" t="str">
        <f t="shared" si="2"/>
        <v/>
      </c>
    </row>
    <row r="136" spans="1:17" x14ac:dyDescent="0.25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21" t="str">
        <f t="shared" si="2"/>
        <v/>
      </c>
    </row>
    <row r="137" spans="1:17" x14ac:dyDescent="0.25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22" t="str">
        <f t="shared" si="2"/>
        <v/>
      </c>
    </row>
    <row r="138" spans="1:17" x14ac:dyDescent="0.25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21" t="str">
        <f t="shared" si="2"/>
        <v/>
      </c>
    </row>
    <row r="139" spans="1:17" x14ac:dyDescent="0.25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22" t="str">
        <f t="shared" si="2"/>
        <v/>
      </c>
    </row>
    <row r="140" spans="1:17" x14ac:dyDescent="0.25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21" t="str">
        <f t="shared" si="2"/>
        <v/>
      </c>
    </row>
    <row r="141" spans="1:17" x14ac:dyDescent="0.25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22" t="str">
        <f t="shared" si="2"/>
        <v/>
      </c>
    </row>
    <row r="142" spans="1:17" x14ac:dyDescent="0.25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21" t="str">
        <f t="shared" si="2"/>
        <v/>
      </c>
    </row>
    <row r="143" spans="1:17" x14ac:dyDescent="0.25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22" t="str">
        <f t="shared" si="2"/>
        <v/>
      </c>
    </row>
    <row r="144" spans="1:17" x14ac:dyDescent="0.25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21" t="str">
        <f t="shared" si="2"/>
        <v/>
      </c>
    </row>
    <row r="145" spans="1:17" x14ac:dyDescent="0.2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22" t="str">
        <f t="shared" si="2"/>
        <v/>
      </c>
    </row>
    <row r="146" spans="1:17" x14ac:dyDescent="0.25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21" t="str">
        <f t="shared" si="2"/>
        <v/>
      </c>
    </row>
    <row r="147" spans="1:17" x14ac:dyDescent="0.25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22" t="str">
        <f t="shared" si="2"/>
        <v/>
      </c>
    </row>
    <row r="148" spans="1:17" x14ac:dyDescent="0.25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21" t="str">
        <f t="shared" si="2"/>
        <v/>
      </c>
    </row>
    <row r="149" spans="1:17" x14ac:dyDescent="0.25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22" t="str">
        <f t="shared" si="2"/>
        <v/>
      </c>
    </row>
    <row r="150" spans="1:17" x14ac:dyDescent="0.25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21" t="str">
        <f t="shared" si="2"/>
        <v/>
      </c>
    </row>
    <row r="151" spans="1:17" x14ac:dyDescent="0.25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22" t="str">
        <f t="shared" si="2"/>
        <v/>
      </c>
    </row>
    <row r="152" spans="1:17" x14ac:dyDescent="0.25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21" t="str">
        <f t="shared" si="2"/>
        <v/>
      </c>
    </row>
    <row r="153" spans="1:17" x14ac:dyDescent="0.25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22" t="str">
        <f t="shared" si="2"/>
        <v/>
      </c>
    </row>
    <row r="154" spans="1:17" x14ac:dyDescent="0.25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21" t="str">
        <f t="shared" si="2"/>
        <v/>
      </c>
    </row>
    <row r="155" spans="1:17" x14ac:dyDescent="0.2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22" t="str">
        <f t="shared" si="2"/>
        <v/>
      </c>
    </row>
    <row r="156" spans="1:17" x14ac:dyDescent="0.25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21" t="str">
        <f t="shared" si="2"/>
        <v/>
      </c>
    </row>
    <row r="157" spans="1:17" x14ac:dyDescent="0.25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22" t="str">
        <f t="shared" si="2"/>
        <v/>
      </c>
    </row>
    <row r="158" spans="1:17" x14ac:dyDescent="0.25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21" t="str">
        <f t="shared" si="2"/>
        <v/>
      </c>
    </row>
    <row r="159" spans="1:17" x14ac:dyDescent="0.25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22" t="str">
        <f t="shared" si="2"/>
        <v/>
      </c>
    </row>
    <row r="160" spans="1:17" x14ac:dyDescent="0.25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21" t="str">
        <f t="shared" si="2"/>
        <v/>
      </c>
    </row>
    <row r="161" spans="1:17" x14ac:dyDescent="0.25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22" t="str">
        <f t="shared" si="2"/>
        <v/>
      </c>
    </row>
    <row r="162" spans="1:17" x14ac:dyDescent="0.25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21" t="str">
        <f t="shared" si="2"/>
        <v/>
      </c>
    </row>
    <row r="163" spans="1:17" x14ac:dyDescent="0.25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22" t="str">
        <f t="shared" si="2"/>
        <v/>
      </c>
    </row>
    <row r="164" spans="1:17" x14ac:dyDescent="0.25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21" t="str">
        <f t="shared" si="2"/>
        <v/>
      </c>
    </row>
    <row r="165" spans="1:17" x14ac:dyDescent="0.2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22" t="str">
        <f t="shared" si="2"/>
        <v/>
      </c>
    </row>
    <row r="166" spans="1:17" x14ac:dyDescent="0.25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21" t="str">
        <f t="shared" si="2"/>
        <v/>
      </c>
    </row>
    <row r="167" spans="1:17" x14ac:dyDescent="0.25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22" t="str">
        <f t="shared" si="2"/>
        <v/>
      </c>
    </row>
    <row r="168" spans="1:17" x14ac:dyDescent="0.25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21" t="str">
        <f t="shared" si="2"/>
        <v/>
      </c>
    </row>
    <row r="169" spans="1:17" x14ac:dyDescent="0.25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22" t="str">
        <f t="shared" si="2"/>
        <v/>
      </c>
    </row>
    <row r="170" spans="1:17" x14ac:dyDescent="0.25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21" t="str">
        <f t="shared" si="2"/>
        <v/>
      </c>
    </row>
    <row r="171" spans="1:17" x14ac:dyDescent="0.25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22" t="str">
        <f t="shared" si="2"/>
        <v/>
      </c>
    </row>
    <row r="172" spans="1:17" x14ac:dyDescent="0.25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21" t="str">
        <f t="shared" si="2"/>
        <v/>
      </c>
    </row>
    <row r="173" spans="1:17" x14ac:dyDescent="0.25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22" t="str">
        <f t="shared" si="2"/>
        <v/>
      </c>
    </row>
    <row r="174" spans="1:17" x14ac:dyDescent="0.25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21" t="str">
        <f t="shared" si="2"/>
        <v/>
      </c>
    </row>
    <row r="175" spans="1:17" x14ac:dyDescent="0.2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22" t="str">
        <f t="shared" si="2"/>
        <v/>
      </c>
    </row>
    <row r="176" spans="1:17" x14ac:dyDescent="0.25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21" t="str">
        <f t="shared" si="2"/>
        <v/>
      </c>
    </row>
    <row r="177" spans="1:17" x14ac:dyDescent="0.25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22" t="str">
        <f t="shared" si="2"/>
        <v/>
      </c>
    </row>
    <row r="178" spans="1:17" x14ac:dyDescent="0.25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21" t="str">
        <f t="shared" si="2"/>
        <v/>
      </c>
    </row>
    <row r="179" spans="1:17" x14ac:dyDescent="0.25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22" t="str">
        <f t="shared" si="2"/>
        <v/>
      </c>
    </row>
    <row r="180" spans="1:17" x14ac:dyDescent="0.25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21" t="str">
        <f t="shared" si="2"/>
        <v/>
      </c>
    </row>
    <row r="181" spans="1:17" x14ac:dyDescent="0.25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22" t="str">
        <f t="shared" si="2"/>
        <v/>
      </c>
    </row>
    <row r="182" spans="1:17" x14ac:dyDescent="0.25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21" t="str">
        <f t="shared" si="2"/>
        <v/>
      </c>
    </row>
    <row r="183" spans="1:17" x14ac:dyDescent="0.25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22" t="str">
        <f t="shared" si="2"/>
        <v/>
      </c>
    </row>
    <row r="184" spans="1:17" x14ac:dyDescent="0.25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21" t="str">
        <f t="shared" si="2"/>
        <v/>
      </c>
    </row>
    <row r="185" spans="1:17" x14ac:dyDescent="0.2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22" t="str">
        <f t="shared" si="2"/>
        <v/>
      </c>
    </row>
    <row r="186" spans="1:17" x14ac:dyDescent="0.25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21" t="str">
        <f t="shared" si="2"/>
        <v/>
      </c>
    </row>
    <row r="187" spans="1:17" x14ac:dyDescent="0.25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22" t="str">
        <f t="shared" si="2"/>
        <v/>
      </c>
    </row>
    <row r="188" spans="1:17" x14ac:dyDescent="0.25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21" t="str">
        <f t="shared" si="2"/>
        <v/>
      </c>
    </row>
    <row r="189" spans="1:17" x14ac:dyDescent="0.25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22" t="str">
        <f t="shared" si="2"/>
        <v/>
      </c>
    </row>
    <row r="190" spans="1:17" x14ac:dyDescent="0.25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21" t="str">
        <f t="shared" si="2"/>
        <v/>
      </c>
    </row>
    <row r="191" spans="1:17" x14ac:dyDescent="0.25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22" t="str">
        <f t="shared" si="2"/>
        <v/>
      </c>
    </row>
    <row r="192" spans="1:17" x14ac:dyDescent="0.25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21" t="str">
        <f t="shared" si="2"/>
        <v/>
      </c>
    </row>
    <row r="193" spans="1:17" x14ac:dyDescent="0.25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22" t="str">
        <f t="shared" si="2"/>
        <v/>
      </c>
    </row>
    <row r="194" spans="1:17" x14ac:dyDescent="0.25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21" t="str">
        <f t="shared" si="2"/>
        <v/>
      </c>
    </row>
    <row r="195" spans="1:17" x14ac:dyDescent="0.2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22" t="str">
        <f t="shared" si="2"/>
        <v/>
      </c>
    </row>
    <row r="196" spans="1:17" x14ac:dyDescent="0.25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21" t="str">
        <f t="shared" si="2"/>
        <v/>
      </c>
    </row>
    <row r="197" spans="1:17" x14ac:dyDescent="0.25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22" t="str">
        <f t="shared" si="2"/>
        <v/>
      </c>
    </row>
    <row r="198" spans="1:17" x14ac:dyDescent="0.25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21" t="str">
        <f t="shared" ref="Q198:Q261" si="3">IF(B198="","",B198&amp;" "&amp;C198)</f>
        <v/>
      </c>
    </row>
    <row r="199" spans="1:17" x14ac:dyDescent="0.25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22" t="str">
        <f t="shared" si="3"/>
        <v/>
      </c>
    </row>
    <row r="200" spans="1:17" x14ac:dyDescent="0.25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21" t="str">
        <f t="shared" si="3"/>
        <v/>
      </c>
    </row>
    <row r="201" spans="1:17" x14ac:dyDescent="0.25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22" t="str">
        <f t="shared" si="3"/>
        <v/>
      </c>
    </row>
    <row r="202" spans="1:17" x14ac:dyDescent="0.25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21" t="str">
        <f t="shared" si="3"/>
        <v/>
      </c>
    </row>
    <row r="203" spans="1:17" x14ac:dyDescent="0.25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22" t="str">
        <f t="shared" si="3"/>
        <v/>
      </c>
    </row>
    <row r="204" spans="1:17" x14ac:dyDescent="0.25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21" t="str">
        <f t="shared" si="3"/>
        <v/>
      </c>
    </row>
    <row r="205" spans="1:17" x14ac:dyDescent="0.2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22" t="str">
        <f t="shared" si="3"/>
        <v/>
      </c>
    </row>
    <row r="206" spans="1:17" x14ac:dyDescent="0.25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21" t="str">
        <f t="shared" si="3"/>
        <v/>
      </c>
    </row>
    <row r="207" spans="1:17" x14ac:dyDescent="0.25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22" t="str">
        <f t="shared" si="3"/>
        <v/>
      </c>
    </row>
    <row r="208" spans="1:17" x14ac:dyDescent="0.25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21" t="str">
        <f t="shared" si="3"/>
        <v/>
      </c>
    </row>
    <row r="209" spans="1:17" x14ac:dyDescent="0.25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22" t="str">
        <f t="shared" si="3"/>
        <v/>
      </c>
    </row>
    <row r="210" spans="1:17" x14ac:dyDescent="0.25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21" t="str">
        <f t="shared" si="3"/>
        <v/>
      </c>
    </row>
    <row r="211" spans="1:17" x14ac:dyDescent="0.25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22" t="str">
        <f t="shared" si="3"/>
        <v/>
      </c>
    </row>
    <row r="212" spans="1:17" x14ac:dyDescent="0.25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21" t="str">
        <f t="shared" si="3"/>
        <v/>
      </c>
    </row>
    <row r="213" spans="1:17" x14ac:dyDescent="0.25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22" t="str">
        <f t="shared" si="3"/>
        <v/>
      </c>
    </row>
    <row r="214" spans="1:17" x14ac:dyDescent="0.25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21" t="str">
        <f t="shared" si="3"/>
        <v/>
      </c>
    </row>
    <row r="215" spans="1:17" x14ac:dyDescent="0.2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22" t="str">
        <f t="shared" si="3"/>
        <v/>
      </c>
    </row>
    <row r="216" spans="1:17" x14ac:dyDescent="0.25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21" t="str">
        <f t="shared" si="3"/>
        <v/>
      </c>
    </row>
    <row r="217" spans="1:17" x14ac:dyDescent="0.25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22" t="str">
        <f t="shared" si="3"/>
        <v/>
      </c>
    </row>
    <row r="218" spans="1:17" x14ac:dyDescent="0.25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21" t="str">
        <f t="shared" si="3"/>
        <v/>
      </c>
    </row>
    <row r="219" spans="1:17" x14ac:dyDescent="0.25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22" t="str">
        <f t="shared" si="3"/>
        <v/>
      </c>
    </row>
    <row r="220" spans="1:17" x14ac:dyDescent="0.25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21" t="str">
        <f t="shared" si="3"/>
        <v/>
      </c>
    </row>
    <row r="221" spans="1:17" x14ac:dyDescent="0.25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22" t="str">
        <f t="shared" si="3"/>
        <v/>
      </c>
    </row>
    <row r="222" spans="1:17" x14ac:dyDescent="0.25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21" t="str">
        <f t="shared" si="3"/>
        <v/>
      </c>
    </row>
    <row r="223" spans="1:17" x14ac:dyDescent="0.25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22" t="str">
        <f t="shared" si="3"/>
        <v/>
      </c>
    </row>
    <row r="224" spans="1:17" x14ac:dyDescent="0.25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21" t="str">
        <f t="shared" si="3"/>
        <v/>
      </c>
    </row>
    <row r="225" spans="1:17" x14ac:dyDescent="0.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22" t="str">
        <f t="shared" si="3"/>
        <v/>
      </c>
    </row>
    <row r="226" spans="1:17" x14ac:dyDescent="0.25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21" t="str">
        <f t="shared" si="3"/>
        <v/>
      </c>
    </row>
    <row r="227" spans="1:17" x14ac:dyDescent="0.25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22" t="str">
        <f t="shared" si="3"/>
        <v/>
      </c>
    </row>
    <row r="228" spans="1:17" x14ac:dyDescent="0.25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21" t="str">
        <f t="shared" si="3"/>
        <v/>
      </c>
    </row>
    <row r="229" spans="1:17" x14ac:dyDescent="0.25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22" t="str">
        <f t="shared" si="3"/>
        <v/>
      </c>
    </row>
    <row r="230" spans="1:17" x14ac:dyDescent="0.25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21" t="str">
        <f t="shared" si="3"/>
        <v/>
      </c>
    </row>
    <row r="231" spans="1:17" x14ac:dyDescent="0.25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22" t="str">
        <f t="shared" si="3"/>
        <v/>
      </c>
    </row>
    <row r="232" spans="1:17" x14ac:dyDescent="0.25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21" t="str">
        <f t="shared" si="3"/>
        <v/>
      </c>
    </row>
    <row r="233" spans="1:17" x14ac:dyDescent="0.25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22" t="str">
        <f t="shared" si="3"/>
        <v/>
      </c>
    </row>
    <row r="234" spans="1:17" x14ac:dyDescent="0.25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21" t="str">
        <f t="shared" si="3"/>
        <v/>
      </c>
    </row>
    <row r="235" spans="1:17" x14ac:dyDescent="0.2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22" t="str">
        <f t="shared" si="3"/>
        <v/>
      </c>
    </row>
    <row r="236" spans="1:17" x14ac:dyDescent="0.25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21" t="str">
        <f t="shared" si="3"/>
        <v/>
      </c>
    </row>
    <row r="237" spans="1:17" x14ac:dyDescent="0.25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22" t="str">
        <f t="shared" si="3"/>
        <v/>
      </c>
    </row>
    <row r="238" spans="1:17" x14ac:dyDescent="0.25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21" t="str">
        <f t="shared" si="3"/>
        <v/>
      </c>
    </row>
    <row r="239" spans="1:17" x14ac:dyDescent="0.25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22" t="str">
        <f t="shared" si="3"/>
        <v/>
      </c>
    </row>
    <row r="240" spans="1:17" x14ac:dyDescent="0.25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21" t="str">
        <f t="shared" si="3"/>
        <v/>
      </c>
    </row>
    <row r="241" spans="1:17" x14ac:dyDescent="0.25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22" t="str">
        <f t="shared" si="3"/>
        <v/>
      </c>
    </row>
    <row r="242" spans="1:17" x14ac:dyDescent="0.25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21" t="str">
        <f t="shared" si="3"/>
        <v/>
      </c>
    </row>
    <row r="243" spans="1:17" x14ac:dyDescent="0.25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22" t="str">
        <f t="shared" si="3"/>
        <v/>
      </c>
    </row>
    <row r="244" spans="1:17" x14ac:dyDescent="0.25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21" t="str">
        <f t="shared" si="3"/>
        <v/>
      </c>
    </row>
    <row r="245" spans="1:17" x14ac:dyDescent="0.2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22" t="str">
        <f t="shared" si="3"/>
        <v/>
      </c>
    </row>
    <row r="246" spans="1:17" x14ac:dyDescent="0.25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21" t="str">
        <f t="shared" si="3"/>
        <v/>
      </c>
    </row>
    <row r="247" spans="1:17" x14ac:dyDescent="0.25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22" t="str">
        <f t="shared" si="3"/>
        <v/>
      </c>
    </row>
    <row r="248" spans="1:17" x14ac:dyDescent="0.25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21" t="str">
        <f t="shared" si="3"/>
        <v/>
      </c>
    </row>
    <row r="249" spans="1:17" x14ac:dyDescent="0.25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22" t="str">
        <f t="shared" si="3"/>
        <v/>
      </c>
    </row>
    <row r="250" spans="1:17" x14ac:dyDescent="0.25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21" t="str">
        <f t="shared" si="3"/>
        <v/>
      </c>
    </row>
    <row r="251" spans="1:17" x14ac:dyDescent="0.25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22" t="str">
        <f t="shared" si="3"/>
        <v/>
      </c>
    </row>
    <row r="252" spans="1:17" x14ac:dyDescent="0.25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21" t="str">
        <f t="shared" si="3"/>
        <v/>
      </c>
    </row>
    <row r="253" spans="1:17" x14ac:dyDescent="0.25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22" t="str">
        <f t="shared" si="3"/>
        <v/>
      </c>
    </row>
    <row r="254" spans="1:17" x14ac:dyDescent="0.25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21" t="str">
        <f t="shared" si="3"/>
        <v/>
      </c>
    </row>
    <row r="255" spans="1:17" x14ac:dyDescent="0.2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22" t="str">
        <f t="shared" si="3"/>
        <v/>
      </c>
    </row>
    <row r="256" spans="1:17" x14ac:dyDescent="0.25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21" t="str">
        <f t="shared" si="3"/>
        <v/>
      </c>
    </row>
    <row r="257" spans="1:17" x14ac:dyDescent="0.25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22" t="str">
        <f t="shared" si="3"/>
        <v/>
      </c>
    </row>
    <row r="258" spans="1:17" x14ac:dyDescent="0.25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21" t="str">
        <f t="shared" si="3"/>
        <v/>
      </c>
    </row>
    <row r="259" spans="1:17" x14ac:dyDescent="0.25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22" t="str">
        <f t="shared" si="3"/>
        <v/>
      </c>
    </row>
    <row r="260" spans="1:17" x14ac:dyDescent="0.25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21" t="str">
        <f t="shared" si="3"/>
        <v/>
      </c>
    </row>
    <row r="261" spans="1:17" x14ac:dyDescent="0.25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22" t="str">
        <f t="shared" si="3"/>
        <v/>
      </c>
    </row>
    <row r="262" spans="1:17" x14ac:dyDescent="0.25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21" t="str">
        <f t="shared" ref="Q262:Q305" si="4">IF(B262="","",B262&amp;" "&amp;C262)</f>
        <v/>
      </c>
    </row>
    <row r="263" spans="1:17" x14ac:dyDescent="0.25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22" t="str">
        <f t="shared" si="4"/>
        <v/>
      </c>
    </row>
    <row r="264" spans="1:17" x14ac:dyDescent="0.25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21" t="str">
        <f t="shared" si="4"/>
        <v/>
      </c>
    </row>
    <row r="265" spans="1:17" x14ac:dyDescent="0.2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22" t="str">
        <f t="shared" si="4"/>
        <v/>
      </c>
    </row>
    <row r="266" spans="1:17" x14ac:dyDescent="0.25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21" t="str">
        <f t="shared" si="4"/>
        <v/>
      </c>
    </row>
    <row r="267" spans="1:17" x14ac:dyDescent="0.25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22" t="str">
        <f t="shared" si="4"/>
        <v/>
      </c>
    </row>
    <row r="268" spans="1:17" x14ac:dyDescent="0.25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21" t="str">
        <f t="shared" si="4"/>
        <v/>
      </c>
    </row>
    <row r="269" spans="1:17" x14ac:dyDescent="0.25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22" t="str">
        <f t="shared" si="4"/>
        <v/>
      </c>
    </row>
    <row r="270" spans="1:17" x14ac:dyDescent="0.25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21" t="str">
        <f t="shared" si="4"/>
        <v/>
      </c>
    </row>
    <row r="271" spans="1:17" x14ac:dyDescent="0.25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22" t="str">
        <f t="shared" si="4"/>
        <v/>
      </c>
    </row>
    <row r="272" spans="1:17" x14ac:dyDescent="0.25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21" t="str">
        <f t="shared" si="4"/>
        <v/>
      </c>
    </row>
    <row r="273" spans="1:17" x14ac:dyDescent="0.25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22" t="str">
        <f t="shared" si="4"/>
        <v/>
      </c>
    </row>
    <row r="274" spans="1:17" x14ac:dyDescent="0.25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21" t="str">
        <f t="shared" si="4"/>
        <v/>
      </c>
    </row>
    <row r="275" spans="1:17" x14ac:dyDescent="0.2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22" t="str">
        <f t="shared" si="4"/>
        <v/>
      </c>
    </row>
    <row r="276" spans="1:17" x14ac:dyDescent="0.25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21" t="str">
        <f t="shared" si="4"/>
        <v/>
      </c>
    </row>
    <row r="277" spans="1:17" x14ac:dyDescent="0.25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22" t="str">
        <f t="shared" si="4"/>
        <v/>
      </c>
    </row>
    <row r="278" spans="1:17" x14ac:dyDescent="0.25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21" t="str">
        <f t="shared" si="4"/>
        <v/>
      </c>
    </row>
    <row r="279" spans="1:17" x14ac:dyDescent="0.25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22" t="str">
        <f t="shared" si="4"/>
        <v/>
      </c>
    </row>
    <row r="280" spans="1:17" x14ac:dyDescent="0.25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21" t="str">
        <f t="shared" si="4"/>
        <v/>
      </c>
    </row>
    <row r="281" spans="1:17" x14ac:dyDescent="0.25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22" t="str">
        <f t="shared" si="4"/>
        <v/>
      </c>
    </row>
    <row r="282" spans="1:17" x14ac:dyDescent="0.25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21" t="str">
        <f t="shared" si="4"/>
        <v/>
      </c>
    </row>
    <row r="283" spans="1:17" x14ac:dyDescent="0.25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22" t="str">
        <f t="shared" si="4"/>
        <v/>
      </c>
    </row>
    <row r="284" spans="1:17" x14ac:dyDescent="0.25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21" t="str">
        <f t="shared" si="4"/>
        <v/>
      </c>
    </row>
    <row r="285" spans="1:17" x14ac:dyDescent="0.2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22" t="str">
        <f t="shared" si="4"/>
        <v/>
      </c>
    </row>
    <row r="286" spans="1:17" x14ac:dyDescent="0.25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21" t="str">
        <f t="shared" si="4"/>
        <v/>
      </c>
    </row>
    <row r="287" spans="1:17" x14ac:dyDescent="0.25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22" t="str">
        <f t="shared" si="4"/>
        <v/>
      </c>
    </row>
    <row r="288" spans="1:17" x14ac:dyDescent="0.25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21" t="str">
        <f t="shared" si="4"/>
        <v/>
      </c>
    </row>
    <row r="289" spans="1:17" x14ac:dyDescent="0.25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22" t="str">
        <f t="shared" si="4"/>
        <v/>
      </c>
    </row>
    <row r="290" spans="1:17" x14ac:dyDescent="0.25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21" t="str">
        <f t="shared" si="4"/>
        <v/>
      </c>
    </row>
    <row r="291" spans="1:17" x14ac:dyDescent="0.25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22" t="str">
        <f t="shared" si="4"/>
        <v/>
      </c>
    </row>
    <row r="292" spans="1:17" x14ac:dyDescent="0.25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21" t="str">
        <f t="shared" si="4"/>
        <v/>
      </c>
    </row>
    <row r="293" spans="1:17" x14ac:dyDescent="0.25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22" t="str">
        <f t="shared" si="4"/>
        <v/>
      </c>
    </row>
    <row r="294" spans="1:17" x14ac:dyDescent="0.25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21" t="str">
        <f t="shared" si="4"/>
        <v/>
      </c>
    </row>
    <row r="295" spans="1:17" x14ac:dyDescent="0.2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22" t="str">
        <f t="shared" si="4"/>
        <v/>
      </c>
    </row>
    <row r="296" spans="1:17" x14ac:dyDescent="0.25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21" t="str">
        <f t="shared" si="4"/>
        <v/>
      </c>
    </row>
    <row r="297" spans="1:17" x14ac:dyDescent="0.25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22" t="str">
        <f t="shared" si="4"/>
        <v/>
      </c>
    </row>
    <row r="298" spans="1:17" x14ac:dyDescent="0.25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21" t="str">
        <f t="shared" si="4"/>
        <v/>
      </c>
    </row>
    <row r="299" spans="1:17" x14ac:dyDescent="0.25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22" t="str">
        <f t="shared" si="4"/>
        <v/>
      </c>
    </row>
    <row r="300" spans="1:17" x14ac:dyDescent="0.25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21" t="str">
        <f t="shared" si="4"/>
        <v/>
      </c>
    </row>
    <row r="301" spans="1:17" x14ac:dyDescent="0.25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22" t="str">
        <f t="shared" si="4"/>
        <v/>
      </c>
    </row>
    <row r="302" spans="1:17" x14ac:dyDescent="0.25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21" t="str">
        <f t="shared" si="4"/>
        <v/>
      </c>
    </row>
    <row r="303" spans="1:17" x14ac:dyDescent="0.25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22" t="str">
        <f t="shared" si="4"/>
        <v/>
      </c>
    </row>
    <row r="304" spans="1:17" x14ac:dyDescent="0.25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21" t="str">
        <f t="shared" si="4"/>
        <v/>
      </c>
    </row>
    <row r="305" spans="1:17" x14ac:dyDescent="0.2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22" t="str">
        <f t="shared" si="4"/>
        <v/>
      </c>
    </row>
  </sheetData>
  <mergeCells count="2">
    <mergeCell ref="A2:F2"/>
    <mergeCell ref="A1:F1"/>
  </mergeCells>
  <conditionalFormatting sqref="K6:O305">
    <cfRule type="cellIs" dxfId="7" priority="1" operator="equal">
      <formula>"Zusage"</formula>
    </cfRule>
    <cfRule type="cellIs" dxfId="6" priority="2" operator="equal">
      <formula>"Absage"</formula>
    </cfRule>
    <cfRule type="cellIs" dxfId="5" priority="3" operator="equal">
      <formula>"Offen"</formula>
    </cfRule>
  </conditionalFormatting>
  <dataValidations count="4">
    <dataValidation type="list" allowBlank="1" error="Bitte Zusage, Absage, Offen oder Eingeladen wählen." sqref="K6:O305" xr:uid="{00000000-0002-0000-0300-000000000000}">
      <formula1>"Zusage,Absage,Offen,Eingeladen"</formula1>
    </dataValidation>
    <dataValidation type="list" allowBlank="1" sqref="F6:F305" xr:uid="{00000000-0002-0000-0300-000001000000}">
      <formula1>"Familie Braut,Familie Bräutigam,Freunde,Kollegen,Nachbarn,Sonstige"</formula1>
    </dataValidation>
    <dataValidation type="list" allowBlank="1" sqref="G6:G305" xr:uid="{00000000-0002-0000-0300-000002000000}">
      <formula1>"Erwachsen,Kind,Baby"</formula1>
    </dataValidation>
    <dataValidation type="list" allowBlank="1" sqref="J6:J305" xr:uid="{00000000-0002-0000-0300-000003000000}">
      <formula1>"Ja,Nein"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7C9885"/>
  </sheetPr>
  <dimension ref="A1:K67"/>
  <sheetViews>
    <sheetView showGridLines="0" workbookViewId="0">
      <pane ySplit="5" topLeftCell="A6" activePane="bottomLeft" state="frozen"/>
      <selection pane="bottomLeft" sqref="A1:F1"/>
    </sheetView>
  </sheetViews>
  <sheetFormatPr baseColWidth="10" defaultColWidth="9.140625" defaultRowHeight="15" x14ac:dyDescent="0.25"/>
  <cols>
    <col min="1" max="1" width="20" customWidth="1"/>
    <col min="2" max="2" width="26" customWidth="1"/>
    <col min="3" max="3" width="22" customWidth="1"/>
    <col min="4" max="8" width="14" customWidth="1"/>
    <col min="9" max="9" width="16" customWidth="1"/>
    <col min="10" max="10" width="14" customWidth="1"/>
    <col min="11" max="11" width="26" customWidth="1"/>
  </cols>
  <sheetData>
    <row r="1" spans="1:11" ht="33.950000000000003" customHeight="1" x14ac:dyDescent="0.25">
      <c r="A1" s="32" t="s">
        <v>140</v>
      </c>
      <c r="B1" s="33"/>
      <c r="C1" s="33"/>
      <c r="D1" s="33"/>
      <c r="E1" s="33"/>
      <c r="F1" s="33"/>
    </row>
    <row r="2" spans="1:11" ht="15.95" customHeight="1" x14ac:dyDescent="0.25">
      <c r="A2" s="25" t="s">
        <v>141</v>
      </c>
      <c r="B2" s="26"/>
      <c r="C2" s="26"/>
      <c r="D2" s="26"/>
      <c r="E2" s="26"/>
      <c r="F2" s="26"/>
    </row>
    <row r="5" spans="1:11" ht="30" customHeight="1" x14ac:dyDescent="0.25">
      <c r="A5" s="16" t="s">
        <v>142</v>
      </c>
      <c r="B5" s="16" t="s">
        <v>143</v>
      </c>
      <c r="C5" s="16" t="s">
        <v>144</v>
      </c>
      <c r="D5" s="16" t="s">
        <v>145</v>
      </c>
      <c r="E5" s="16" t="s">
        <v>146</v>
      </c>
      <c r="F5" s="16" t="s">
        <v>147</v>
      </c>
      <c r="G5" s="16" t="s">
        <v>148</v>
      </c>
      <c r="H5" s="16" t="s">
        <v>149</v>
      </c>
      <c r="I5" s="16" t="s">
        <v>150</v>
      </c>
      <c r="J5" s="16" t="s">
        <v>151</v>
      </c>
      <c r="K5" s="16" t="s">
        <v>68</v>
      </c>
    </row>
    <row r="6" spans="1:11" x14ac:dyDescent="0.25">
      <c r="A6" s="11" t="s">
        <v>152</v>
      </c>
      <c r="B6" s="11" t="s">
        <v>153</v>
      </c>
      <c r="C6" s="11" t="s">
        <v>154</v>
      </c>
      <c r="D6" s="23">
        <v>6500</v>
      </c>
      <c r="E6" s="23">
        <v>6800</v>
      </c>
      <c r="F6" s="23">
        <v>2000</v>
      </c>
      <c r="G6" s="23">
        <v>2000</v>
      </c>
      <c r="H6" s="23">
        <f t="shared" ref="H6:H37" si="0">IF(E6=0,0,E6-G6)</f>
        <v>4800</v>
      </c>
      <c r="I6" s="11" t="s">
        <v>155</v>
      </c>
      <c r="J6" s="17">
        <v>46402</v>
      </c>
      <c r="K6" s="11" t="s">
        <v>92</v>
      </c>
    </row>
    <row r="7" spans="1:11" x14ac:dyDescent="0.25">
      <c r="A7" s="8" t="s">
        <v>156</v>
      </c>
      <c r="B7" s="8" t="s">
        <v>157</v>
      </c>
      <c r="C7" s="8" t="s">
        <v>158</v>
      </c>
      <c r="D7" s="6">
        <v>7500</v>
      </c>
      <c r="E7" s="6">
        <v>7950</v>
      </c>
      <c r="F7" s="6">
        <v>0</v>
      </c>
      <c r="G7" s="6">
        <v>0</v>
      </c>
      <c r="H7" s="6">
        <f t="shared" si="0"/>
        <v>7950</v>
      </c>
      <c r="I7" s="8" t="s">
        <v>159</v>
      </c>
      <c r="J7" s="18">
        <v>46519</v>
      </c>
      <c r="K7" s="8" t="s">
        <v>92</v>
      </c>
    </row>
    <row r="8" spans="1:11" x14ac:dyDescent="0.25">
      <c r="A8" s="11" t="s">
        <v>160</v>
      </c>
      <c r="B8" s="11" t="s">
        <v>85</v>
      </c>
      <c r="C8" s="11" t="s">
        <v>161</v>
      </c>
      <c r="D8" s="23">
        <v>1299</v>
      </c>
      <c r="E8" s="23">
        <v>1299</v>
      </c>
      <c r="F8" s="23">
        <v>1299</v>
      </c>
      <c r="G8" s="23">
        <v>1299</v>
      </c>
      <c r="H8" s="23">
        <f t="shared" si="0"/>
        <v>0</v>
      </c>
      <c r="I8" s="11" t="s">
        <v>147</v>
      </c>
      <c r="J8" s="17">
        <v>46356</v>
      </c>
      <c r="K8" s="11" t="s">
        <v>162</v>
      </c>
    </row>
    <row r="9" spans="1:11" x14ac:dyDescent="0.25">
      <c r="A9" s="8" t="s">
        <v>163</v>
      </c>
      <c r="B9" s="8" t="s">
        <v>164</v>
      </c>
      <c r="C9" s="8"/>
      <c r="D9" s="6">
        <v>2200</v>
      </c>
      <c r="E9" s="6">
        <v>0</v>
      </c>
      <c r="F9" s="6">
        <v>0</v>
      </c>
      <c r="G9" s="6">
        <v>0</v>
      </c>
      <c r="H9" s="6">
        <f t="shared" si="0"/>
        <v>0</v>
      </c>
      <c r="I9" s="8" t="s">
        <v>23</v>
      </c>
      <c r="J9" s="18"/>
      <c r="K9" s="8" t="s">
        <v>92</v>
      </c>
    </row>
    <row r="10" spans="1:11" x14ac:dyDescent="0.25">
      <c r="A10" s="11" t="s">
        <v>165</v>
      </c>
      <c r="B10" s="11" t="s">
        <v>166</v>
      </c>
      <c r="C10" s="11"/>
      <c r="D10" s="23">
        <v>1500</v>
      </c>
      <c r="E10" s="23">
        <v>0</v>
      </c>
      <c r="F10" s="23">
        <v>0</v>
      </c>
      <c r="G10" s="23">
        <v>0</v>
      </c>
      <c r="H10" s="23">
        <f t="shared" si="0"/>
        <v>0</v>
      </c>
      <c r="I10" s="11" t="s">
        <v>23</v>
      </c>
      <c r="J10" s="17"/>
      <c r="K10" s="11" t="s">
        <v>167</v>
      </c>
    </row>
    <row r="11" spans="1:11" x14ac:dyDescent="0.25">
      <c r="A11" s="8"/>
      <c r="B11" s="8"/>
      <c r="C11" s="8"/>
      <c r="D11" s="6"/>
      <c r="E11" s="6"/>
      <c r="F11" s="6"/>
      <c r="G11" s="6"/>
      <c r="H11" s="6">
        <f t="shared" si="0"/>
        <v>0</v>
      </c>
      <c r="I11" s="8"/>
      <c r="J11" s="18"/>
      <c r="K11" s="8"/>
    </row>
    <row r="12" spans="1:11" x14ac:dyDescent="0.25">
      <c r="A12" s="11"/>
      <c r="B12" s="11"/>
      <c r="C12" s="11"/>
      <c r="D12" s="23"/>
      <c r="E12" s="23"/>
      <c r="F12" s="23"/>
      <c r="G12" s="23"/>
      <c r="H12" s="23">
        <f t="shared" si="0"/>
        <v>0</v>
      </c>
      <c r="I12" s="11"/>
      <c r="J12" s="17"/>
      <c r="K12" s="11"/>
    </row>
    <row r="13" spans="1:11" x14ac:dyDescent="0.25">
      <c r="A13" s="8"/>
      <c r="B13" s="8"/>
      <c r="C13" s="8"/>
      <c r="D13" s="6"/>
      <c r="E13" s="6"/>
      <c r="F13" s="6"/>
      <c r="G13" s="6"/>
      <c r="H13" s="6">
        <f t="shared" si="0"/>
        <v>0</v>
      </c>
      <c r="I13" s="8"/>
      <c r="J13" s="18"/>
      <c r="K13" s="8"/>
    </row>
    <row r="14" spans="1:11" x14ac:dyDescent="0.25">
      <c r="A14" s="11"/>
      <c r="B14" s="11"/>
      <c r="C14" s="11"/>
      <c r="D14" s="23"/>
      <c r="E14" s="23"/>
      <c r="F14" s="23"/>
      <c r="G14" s="23"/>
      <c r="H14" s="23">
        <f t="shared" si="0"/>
        <v>0</v>
      </c>
      <c r="I14" s="11"/>
      <c r="J14" s="17"/>
      <c r="K14" s="11"/>
    </row>
    <row r="15" spans="1:11" x14ac:dyDescent="0.25">
      <c r="A15" s="8"/>
      <c r="B15" s="8"/>
      <c r="C15" s="8"/>
      <c r="D15" s="6"/>
      <c r="E15" s="6"/>
      <c r="F15" s="6"/>
      <c r="G15" s="6"/>
      <c r="H15" s="6">
        <f t="shared" si="0"/>
        <v>0</v>
      </c>
      <c r="I15" s="8"/>
      <c r="J15" s="18"/>
      <c r="K15" s="8"/>
    </row>
    <row r="16" spans="1:11" x14ac:dyDescent="0.25">
      <c r="A16" s="11"/>
      <c r="B16" s="11"/>
      <c r="C16" s="11"/>
      <c r="D16" s="23"/>
      <c r="E16" s="23"/>
      <c r="F16" s="23"/>
      <c r="G16" s="23"/>
      <c r="H16" s="23">
        <f t="shared" si="0"/>
        <v>0</v>
      </c>
      <c r="I16" s="11"/>
      <c r="J16" s="17"/>
      <c r="K16" s="11"/>
    </row>
    <row r="17" spans="1:11" x14ac:dyDescent="0.25">
      <c r="A17" s="8"/>
      <c r="B17" s="8"/>
      <c r="C17" s="8"/>
      <c r="D17" s="6"/>
      <c r="E17" s="6"/>
      <c r="F17" s="6"/>
      <c r="G17" s="6"/>
      <c r="H17" s="6">
        <f t="shared" si="0"/>
        <v>0</v>
      </c>
      <c r="I17" s="8"/>
      <c r="J17" s="18"/>
      <c r="K17" s="8"/>
    </row>
    <row r="18" spans="1:11" x14ac:dyDescent="0.25">
      <c r="A18" s="11"/>
      <c r="B18" s="11"/>
      <c r="C18" s="11"/>
      <c r="D18" s="23"/>
      <c r="E18" s="23"/>
      <c r="F18" s="23"/>
      <c r="G18" s="23"/>
      <c r="H18" s="23">
        <f t="shared" si="0"/>
        <v>0</v>
      </c>
      <c r="I18" s="11"/>
      <c r="J18" s="17"/>
      <c r="K18" s="11"/>
    </row>
    <row r="19" spans="1:11" x14ac:dyDescent="0.25">
      <c r="A19" s="8"/>
      <c r="B19" s="8"/>
      <c r="C19" s="8"/>
      <c r="D19" s="6"/>
      <c r="E19" s="6"/>
      <c r="F19" s="6"/>
      <c r="G19" s="6"/>
      <c r="H19" s="6">
        <f t="shared" si="0"/>
        <v>0</v>
      </c>
      <c r="I19" s="8"/>
      <c r="J19" s="18"/>
      <c r="K19" s="8"/>
    </row>
    <row r="20" spans="1:11" x14ac:dyDescent="0.25">
      <c r="A20" s="11"/>
      <c r="B20" s="11"/>
      <c r="C20" s="11"/>
      <c r="D20" s="23"/>
      <c r="E20" s="23"/>
      <c r="F20" s="23"/>
      <c r="G20" s="23"/>
      <c r="H20" s="23">
        <f t="shared" si="0"/>
        <v>0</v>
      </c>
      <c r="I20" s="11"/>
      <c r="J20" s="17"/>
      <c r="K20" s="11"/>
    </row>
    <row r="21" spans="1:11" x14ac:dyDescent="0.25">
      <c r="A21" s="8"/>
      <c r="B21" s="8"/>
      <c r="C21" s="8"/>
      <c r="D21" s="6"/>
      <c r="E21" s="6"/>
      <c r="F21" s="6"/>
      <c r="G21" s="6"/>
      <c r="H21" s="6">
        <f t="shared" si="0"/>
        <v>0</v>
      </c>
      <c r="I21" s="8"/>
      <c r="J21" s="18"/>
      <c r="K21" s="8"/>
    </row>
    <row r="22" spans="1:11" x14ac:dyDescent="0.25">
      <c r="A22" s="11"/>
      <c r="B22" s="11"/>
      <c r="C22" s="11"/>
      <c r="D22" s="23"/>
      <c r="E22" s="23"/>
      <c r="F22" s="23"/>
      <c r="G22" s="23"/>
      <c r="H22" s="23">
        <f t="shared" si="0"/>
        <v>0</v>
      </c>
      <c r="I22" s="11"/>
      <c r="J22" s="17"/>
      <c r="K22" s="11"/>
    </row>
    <row r="23" spans="1:11" x14ac:dyDescent="0.25">
      <c r="A23" s="8"/>
      <c r="B23" s="8"/>
      <c r="C23" s="8"/>
      <c r="D23" s="6"/>
      <c r="E23" s="6"/>
      <c r="F23" s="6"/>
      <c r="G23" s="6"/>
      <c r="H23" s="6">
        <f t="shared" si="0"/>
        <v>0</v>
      </c>
      <c r="I23" s="8"/>
      <c r="J23" s="18"/>
      <c r="K23" s="8"/>
    </row>
    <row r="24" spans="1:11" x14ac:dyDescent="0.25">
      <c r="A24" s="11"/>
      <c r="B24" s="11"/>
      <c r="C24" s="11"/>
      <c r="D24" s="23"/>
      <c r="E24" s="23"/>
      <c r="F24" s="23"/>
      <c r="G24" s="23"/>
      <c r="H24" s="23">
        <f t="shared" si="0"/>
        <v>0</v>
      </c>
      <c r="I24" s="11"/>
      <c r="J24" s="17"/>
      <c r="K24" s="11"/>
    </row>
    <row r="25" spans="1:11" x14ac:dyDescent="0.25">
      <c r="A25" s="8"/>
      <c r="B25" s="8"/>
      <c r="C25" s="8"/>
      <c r="D25" s="6"/>
      <c r="E25" s="6"/>
      <c r="F25" s="6"/>
      <c r="G25" s="6"/>
      <c r="H25" s="6">
        <f t="shared" si="0"/>
        <v>0</v>
      </c>
      <c r="I25" s="8"/>
      <c r="J25" s="18"/>
      <c r="K25" s="8"/>
    </row>
    <row r="26" spans="1:11" x14ac:dyDescent="0.25">
      <c r="A26" s="11"/>
      <c r="B26" s="11"/>
      <c r="C26" s="11"/>
      <c r="D26" s="23"/>
      <c r="E26" s="23"/>
      <c r="F26" s="23"/>
      <c r="G26" s="23"/>
      <c r="H26" s="23">
        <f t="shared" si="0"/>
        <v>0</v>
      </c>
      <c r="I26" s="11"/>
      <c r="J26" s="17"/>
      <c r="K26" s="11"/>
    </row>
    <row r="27" spans="1:11" x14ac:dyDescent="0.25">
      <c r="A27" s="8"/>
      <c r="B27" s="8"/>
      <c r="C27" s="8"/>
      <c r="D27" s="6"/>
      <c r="E27" s="6"/>
      <c r="F27" s="6"/>
      <c r="G27" s="6"/>
      <c r="H27" s="6">
        <f t="shared" si="0"/>
        <v>0</v>
      </c>
      <c r="I27" s="8"/>
      <c r="J27" s="18"/>
      <c r="K27" s="8"/>
    </row>
    <row r="28" spans="1:11" x14ac:dyDescent="0.25">
      <c r="A28" s="11"/>
      <c r="B28" s="11"/>
      <c r="C28" s="11"/>
      <c r="D28" s="23"/>
      <c r="E28" s="23"/>
      <c r="F28" s="23"/>
      <c r="G28" s="23"/>
      <c r="H28" s="23">
        <f t="shared" si="0"/>
        <v>0</v>
      </c>
      <c r="I28" s="11"/>
      <c r="J28" s="17"/>
      <c r="K28" s="11"/>
    </row>
    <row r="29" spans="1:11" x14ac:dyDescent="0.25">
      <c r="A29" s="8"/>
      <c r="B29" s="8"/>
      <c r="C29" s="8"/>
      <c r="D29" s="6"/>
      <c r="E29" s="6"/>
      <c r="F29" s="6"/>
      <c r="G29" s="6"/>
      <c r="H29" s="6">
        <f t="shared" si="0"/>
        <v>0</v>
      </c>
      <c r="I29" s="8"/>
      <c r="J29" s="18"/>
      <c r="K29" s="8"/>
    </row>
    <row r="30" spans="1:11" x14ac:dyDescent="0.25">
      <c r="A30" s="11"/>
      <c r="B30" s="11"/>
      <c r="C30" s="11"/>
      <c r="D30" s="23"/>
      <c r="E30" s="23"/>
      <c r="F30" s="23"/>
      <c r="G30" s="23"/>
      <c r="H30" s="23">
        <f t="shared" si="0"/>
        <v>0</v>
      </c>
      <c r="I30" s="11"/>
      <c r="J30" s="17"/>
      <c r="K30" s="11"/>
    </row>
    <row r="31" spans="1:11" x14ac:dyDescent="0.25">
      <c r="A31" s="8"/>
      <c r="B31" s="8"/>
      <c r="C31" s="8"/>
      <c r="D31" s="6"/>
      <c r="E31" s="6"/>
      <c r="F31" s="6"/>
      <c r="G31" s="6"/>
      <c r="H31" s="6">
        <f t="shared" si="0"/>
        <v>0</v>
      </c>
      <c r="I31" s="8"/>
      <c r="J31" s="18"/>
      <c r="K31" s="8"/>
    </row>
    <row r="32" spans="1:11" x14ac:dyDescent="0.25">
      <c r="A32" s="11"/>
      <c r="B32" s="11"/>
      <c r="C32" s="11"/>
      <c r="D32" s="23"/>
      <c r="E32" s="23"/>
      <c r="F32" s="23"/>
      <c r="G32" s="23"/>
      <c r="H32" s="23">
        <f t="shared" si="0"/>
        <v>0</v>
      </c>
      <c r="I32" s="11"/>
      <c r="J32" s="17"/>
      <c r="K32" s="11"/>
    </row>
    <row r="33" spans="1:11" x14ac:dyDescent="0.25">
      <c r="A33" s="8"/>
      <c r="B33" s="8"/>
      <c r="C33" s="8"/>
      <c r="D33" s="6"/>
      <c r="E33" s="6"/>
      <c r="F33" s="6"/>
      <c r="G33" s="6"/>
      <c r="H33" s="6">
        <f t="shared" si="0"/>
        <v>0</v>
      </c>
      <c r="I33" s="8"/>
      <c r="J33" s="18"/>
      <c r="K33" s="8"/>
    </row>
    <row r="34" spans="1:11" x14ac:dyDescent="0.25">
      <c r="A34" s="11"/>
      <c r="B34" s="11"/>
      <c r="C34" s="11"/>
      <c r="D34" s="23"/>
      <c r="E34" s="23"/>
      <c r="F34" s="23"/>
      <c r="G34" s="23"/>
      <c r="H34" s="23">
        <f t="shared" si="0"/>
        <v>0</v>
      </c>
      <c r="I34" s="11"/>
      <c r="J34" s="17"/>
      <c r="K34" s="11"/>
    </row>
    <row r="35" spans="1:11" x14ac:dyDescent="0.25">
      <c r="A35" s="8"/>
      <c r="B35" s="8"/>
      <c r="C35" s="8"/>
      <c r="D35" s="6"/>
      <c r="E35" s="6"/>
      <c r="F35" s="6"/>
      <c r="G35" s="6"/>
      <c r="H35" s="6">
        <f t="shared" si="0"/>
        <v>0</v>
      </c>
      <c r="I35" s="8"/>
      <c r="J35" s="18"/>
      <c r="K35" s="8"/>
    </row>
    <row r="36" spans="1:11" x14ac:dyDescent="0.25">
      <c r="A36" s="11"/>
      <c r="B36" s="11"/>
      <c r="C36" s="11"/>
      <c r="D36" s="23"/>
      <c r="E36" s="23"/>
      <c r="F36" s="23"/>
      <c r="G36" s="23"/>
      <c r="H36" s="23">
        <f t="shared" si="0"/>
        <v>0</v>
      </c>
      <c r="I36" s="11"/>
      <c r="J36" s="17"/>
      <c r="K36" s="11"/>
    </row>
    <row r="37" spans="1:11" x14ac:dyDescent="0.25">
      <c r="A37" s="8"/>
      <c r="B37" s="8"/>
      <c r="C37" s="8"/>
      <c r="D37" s="6"/>
      <c r="E37" s="6"/>
      <c r="F37" s="6"/>
      <c r="G37" s="6"/>
      <c r="H37" s="6">
        <f t="shared" si="0"/>
        <v>0</v>
      </c>
      <c r="I37" s="8"/>
      <c r="J37" s="18"/>
      <c r="K37" s="8"/>
    </row>
    <row r="38" spans="1:11" x14ac:dyDescent="0.25">
      <c r="A38" s="11"/>
      <c r="B38" s="11"/>
      <c r="C38" s="11"/>
      <c r="D38" s="23"/>
      <c r="E38" s="23"/>
      <c r="F38" s="23"/>
      <c r="G38" s="23"/>
      <c r="H38" s="23">
        <f t="shared" ref="H38:H69" si="1">IF(E38=0,0,E38-G38)</f>
        <v>0</v>
      </c>
      <c r="I38" s="11"/>
      <c r="J38" s="17"/>
      <c r="K38" s="11"/>
    </row>
    <row r="39" spans="1:11" x14ac:dyDescent="0.25">
      <c r="A39" s="8"/>
      <c r="B39" s="8"/>
      <c r="C39" s="8"/>
      <c r="D39" s="6"/>
      <c r="E39" s="6"/>
      <c r="F39" s="6"/>
      <c r="G39" s="6"/>
      <c r="H39" s="6">
        <f t="shared" si="1"/>
        <v>0</v>
      </c>
      <c r="I39" s="8"/>
      <c r="J39" s="18"/>
      <c r="K39" s="8"/>
    </row>
    <row r="40" spans="1:11" x14ac:dyDescent="0.25">
      <c r="A40" s="11"/>
      <c r="B40" s="11"/>
      <c r="C40" s="11"/>
      <c r="D40" s="23"/>
      <c r="E40" s="23"/>
      <c r="F40" s="23"/>
      <c r="G40" s="23"/>
      <c r="H40" s="23">
        <f t="shared" si="1"/>
        <v>0</v>
      </c>
      <c r="I40" s="11"/>
      <c r="J40" s="17"/>
      <c r="K40" s="11"/>
    </row>
    <row r="41" spans="1:11" x14ac:dyDescent="0.25">
      <c r="A41" s="8"/>
      <c r="B41" s="8"/>
      <c r="C41" s="8"/>
      <c r="D41" s="6"/>
      <c r="E41" s="6"/>
      <c r="F41" s="6"/>
      <c r="G41" s="6"/>
      <c r="H41" s="6">
        <f t="shared" si="1"/>
        <v>0</v>
      </c>
      <c r="I41" s="8"/>
      <c r="J41" s="18"/>
      <c r="K41" s="8"/>
    </row>
    <row r="42" spans="1:11" x14ac:dyDescent="0.25">
      <c r="A42" s="11"/>
      <c r="B42" s="11"/>
      <c r="C42" s="11"/>
      <c r="D42" s="23"/>
      <c r="E42" s="23"/>
      <c r="F42" s="23"/>
      <c r="G42" s="23"/>
      <c r="H42" s="23">
        <f t="shared" si="1"/>
        <v>0</v>
      </c>
      <c r="I42" s="11"/>
      <c r="J42" s="17"/>
      <c r="K42" s="11"/>
    </row>
    <row r="43" spans="1:11" x14ac:dyDescent="0.25">
      <c r="A43" s="8"/>
      <c r="B43" s="8"/>
      <c r="C43" s="8"/>
      <c r="D43" s="6"/>
      <c r="E43" s="6"/>
      <c r="F43" s="6"/>
      <c r="G43" s="6"/>
      <c r="H43" s="6">
        <f t="shared" si="1"/>
        <v>0</v>
      </c>
      <c r="I43" s="8"/>
      <c r="J43" s="18"/>
      <c r="K43" s="8"/>
    </row>
    <row r="44" spans="1:11" x14ac:dyDescent="0.25">
      <c r="A44" s="11"/>
      <c r="B44" s="11"/>
      <c r="C44" s="11"/>
      <c r="D44" s="23"/>
      <c r="E44" s="23"/>
      <c r="F44" s="23"/>
      <c r="G44" s="23"/>
      <c r="H44" s="23">
        <f t="shared" si="1"/>
        <v>0</v>
      </c>
      <c r="I44" s="11"/>
      <c r="J44" s="17"/>
      <c r="K44" s="11"/>
    </row>
    <row r="45" spans="1:11" x14ac:dyDescent="0.25">
      <c r="A45" s="8"/>
      <c r="B45" s="8"/>
      <c r="C45" s="8"/>
      <c r="D45" s="6"/>
      <c r="E45" s="6"/>
      <c r="F45" s="6"/>
      <c r="G45" s="6"/>
      <c r="H45" s="6">
        <f t="shared" si="1"/>
        <v>0</v>
      </c>
      <c r="I45" s="8"/>
      <c r="J45" s="18"/>
      <c r="K45" s="8"/>
    </row>
    <row r="46" spans="1:11" x14ac:dyDescent="0.25">
      <c r="A46" s="11"/>
      <c r="B46" s="11"/>
      <c r="C46" s="11"/>
      <c r="D46" s="23"/>
      <c r="E46" s="23"/>
      <c r="F46" s="23"/>
      <c r="G46" s="23"/>
      <c r="H46" s="23">
        <f t="shared" si="1"/>
        <v>0</v>
      </c>
      <c r="I46" s="11"/>
      <c r="J46" s="17"/>
      <c r="K46" s="11"/>
    </row>
    <row r="47" spans="1:11" x14ac:dyDescent="0.25">
      <c r="A47" s="8"/>
      <c r="B47" s="8"/>
      <c r="C47" s="8"/>
      <c r="D47" s="6"/>
      <c r="E47" s="6"/>
      <c r="F47" s="6"/>
      <c r="G47" s="6"/>
      <c r="H47" s="6">
        <f t="shared" si="1"/>
        <v>0</v>
      </c>
      <c r="I47" s="8"/>
      <c r="J47" s="18"/>
      <c r="K47" s="8"/>
    </row>
    <row r="48" spans="1:11" x14ac:dyDescent="0.25">
      <c r="A48" s="11"/>
      <c r="B48" s="11"/>
      <c r="C48" s="11"/>
      <c r="D48" s="23"/>
      <c r="E48" s="23"/>
      <c r="F48" s="23"/>
      <c r="G48" s="23"/>
      <c r="H48" s="23">
        <f t="shared" si="1"/>
        <v>0</v>
      </c>
      <c r="I48" s="11"/>
      <c r="J48" s="17"/>
      <c r="K48" s="11"/>
    </row>
    <row r="49" spans="1:11" x14ac:dyDescent="0.25">
      <c r="A49" s="8"/>
      <c r="B49" s="8"/>
      <c r="C49" s="8"/>
      <c r="D49" s="6"/>
      <c r="E49" s="6"/>
      <c r="F49" s="6"/>
      <c r="G49" s="6"/>
      <c r="H49" s="6">
        <f t="shared" si="1"/>
        <v>0</v>
      </c>
      <c r="I49" s="8"/>
      <c r="J49" s="18"/>
      <c r="K49" s="8"/>
    </row>
    <row r="50" spans="1:11" x14ac:dyDescent="0.25">
      <c r="A50" s="11"/>
      <c r="B50" s="11"/>
      <c r="C50" s="11"/>
      <c r="D50" s="23"/>
      <c r="E50" s="23"/>
      <c r="F50" s="23"/>
      <c r="G50" s="23"/>
      <c r="H50" s="23">
        <f t="shared" si="1"/>
        <v>0</v>
      </c>
      <c r="I50" s="11"/>
      <c r="J50" s="17"/>
      <c r="K50" s="11"/>
    </row>
    <row r="51" spans="1:11" x14ac:dyDescent="0.25">
      <c r="A51" s="8"/>
      <c r="B51" s="8"/>
      <c r="C51" s="8"/>
      <c r="D51" s="6"/>
      <c r="E51" s="6"/>
      <c r="F51" s="6"/>
      <c r="G51" s="6"/>
      <c r="H51" s="6">
        <f t="shared" si="1"/>
        <v>0</v>
      </c>
      <c r="I51" s="8"/>
      <c r="J51" s="18"/>
      <c r="K51" s="8"/>
    </row>
    <row r="52" spans="1:11" x14ac:dyDescent="0.25">
      <c r="A52" s="11"/>
      <c r="B52" s="11"/>
      <c r="C52" s="11"/>
      <c r="D52" s="23"/>
      <c r="E52" s="23"/>
      <c r="F52" s="23"/>
      <c r="G52" s="23"/>
      <c r="H52" s="23">
        <f t="shared" si="1"/>
        <v>0</v>
      </c>
      <c r="I52" s="11"/>
      <c r="J52" s="17"/>
      <c r="K52" s="11"/>
    </row>
    <row r="53" spans="1:11" x14ac:dyDescent="0.25">
      <c r="A53" s="8"/>
      <c r="B53" s="8"/>
      <c r="C53" s="8"/>
      <c r="D53" s="6"/>
      <c r="E53" s="6"/>
      <c r="F53" s="6"/>
      <c r="G53" s="6"/>
      <c r="H53" s="6">
        <f t="shared" si="1"/>
        <v>0</v>
      </c>
      <c r="I53" s="8"/>
      <c r="J53" s="18"/>
      <c r="K53" s="8"/>
    </row>
    <row r="54" spans="1:11" x14ac:dyDescent="0.25">
      <c r="A54" s="11"/>
      <c r="B54" s="11"/>
      <c r="C54" s="11"/>
      <c r="D54" s="23"/>
      <c r="E54" s="23"/>
      <c r="F54" s="23"/>
      <c r="G54" s="23"/>
      <c r="H54" s="23">
        <f t="shared" si="1"/>
        <v>0</v>
      </c>
      <c r="I54" s="11"/>
      <c r="J54" s="17"/>
      <c r="K54" s="11"/>
    </row>
    <row r="55" spans="1:11" x14ac:dyDescent="0.25">
      <c r="A55" s="8"/>
      <c r="B55" s="8"/>
      <c r="C55" s="8"/>
      <c r="D55" s="6"/>
      <c r="E55" s="6"/>
      <c r="F55" s="6"/>
      <c r="G55" s="6"/>
      <c r="H55" s="6">
        <f t="shared" si="1"/>
        <v>0</v>
      </c>
      <c r="I55" s="8"/>
      <c r="J55" s="18"/>
      <c r="K55" s="8"/>
    </row>
    <row r="56" spans="1:11" x14ac:dyDescent="0.25">
      <c r="A56" s="11"/>
      <c r="B56" s="11"/>
      <c r="C56" s="11"/>
      <c r="D56" s="23"/>
      <c r="E56" s="23"/>
      <c r="F56" s="23"/>
      <c r="G56" s="23"/>
      <c r="H56" s="23">
        <f t="shared" si="1"/>
        <v>0</v>
      </c>
      <c r="I56" s="11"/>
      <c r="J56" s="17"/>
      <c r="K56" s="11"/>
    </row>
    <row r="57" spans="1:11" x14ac:dyDescent="0.25">
      <c r="A57" s="8"/>
      <c r="B57" s="8"/>
      <c r="C57" s="8"/>
      <c r="D57" s="6"/>
      <c r="E57" s="6"/>
      <c r="F57" s="6"/>
      <c r="G57" s="6"/>
      <c r="H57" s="6">
        <f t="shared" si="1"/>
        <v>0</v>
      </c>
      <c r="I57" s="8"/>
      <c r="J57" s="18"/>
      <c r="K57" s="8"/>
    </row>
    <row r="58" spans="1:11" x14ac:dyDescent="0.25">
      <c r="A58" s="11"/>
      <c r="B58" s="11"/>
      <c r="C58" s="11"/>
      <c r="D58" s="23"/>
      <c r="E58" s="23"/>
      <c r="F58" s="23"/>
      <c r="G58" s="23"/>
      <c r="H58" s="23">
        <f t="shared" si="1"/>
        <v>0</v>
      </c>
      <c r="I58" s="11"/>
      <c r="J58" s="17"/>
      <c r="K58" s="11"/>
    </row>
    <row r="59" spans="1:11" x14ac:dyDescent="0.25">
      <c r="A59" s="8"/>
      <c r="B59" s="8"/>
      <c r="C59" s="8"/>
      <c r="D59" s="6"/>
      <c r="E59" s="6"/>
      <c r="F59" s="6"/>
      <c r="G59" s="6"/>
      <c r="H59" s="6">
        <f t="shared" si="1"/>
        <v>0</v>
      </c>
      <c r="I59" s="8"/>
      <c r="J59" s="18"/>
      <c r="K59" s="8"/>
    </row>
    <row r="60" spans="1:11" x14ac:dyDescent="0.25">
      <c r="A60" s="11"/>
      <c r="B60" s="11"/>
      <c r="C60" s="11"/>
      <c r="D60" s="23"/>
      <c r="E60" s="23"/>
      <c r="F60" s="23"/>
      <c r="G60" s="23"/>
      <c r="H60" s="23">
        <f t="shared" si="1"/>
        <v>0</v>
      </c>
      <c r="I60" s="11"/>
      <c r="J60" s="17"/>
      <c r="K60" s="11"/>
    </row>
    <row r="61" spans="1:11" x14ac:dyDescent="0.25">
      <c r="A61" s="8"/>
      <c r="B61" s="8"/>
      <c r="C61" s="8"/>
      <c r="D61" s="6"/>
      <c r="E61" s="6"/>
      <c r="F61" s="6"/>
      <c r="G61" s="6"/>
      <c r="H61" s="6">
        <f t="shared" si="1"/>
        <v>0</v>
      </c>
      <c r="I61" s="8"/>
      <c r="J61" s="18"/>
      <c r="K61" s="8"/>
    </row>
    <row r="62" spans="1:11" x14ac:dyDescent="0.25">
      <c r="A62" s="11"/>
      <c r="B62" s="11"/>
      <c r="C62" s="11"/>
      <c r="D62" s="23"/>
      <c r="E62" s="23"/>
      <c r="F62" s="23"/>
      <c r="G62" s="23"/>
      <c r="H62" s="23">
        <f t="shared" si="1"/>
        <v>0</v>
      </c>
      <c r="I62" s="11"/>
      <c r="J62" s="17"/>
      <c r="K62" s="11"/>
    </row>
    <row r="63" spans="1:11" x14ac:dyDescent="0.25">
      <c r="A63" s="8"/>
      <c r="B63" s="8"/>
      <c r="C63" s="8"/>
      <c r="D63" s="6"/>
      <c r="E63" s="6"/>
      <c r="F63" s="6"/>
      <c r="G63" s="6"/>
      <c r="H63" s="6">
        <f t="shared" si="1"/>
        <v>0</v>
      </c>
      <c r="I63" s="8"/>
      <c r="J63" s="18"/>
      <c r="K63" s="8"/>
    </row>
    <row r="64" spans="1:11" x14ac:dyDescent="0.25">
      <c r="A64" s="11"/>
      <c r="B64" s="11"/>
      <c r="C64" s="11"/>
      <c r="D64" s="23"/>
      <c r="E64" s="23"/>
      <c r="F64" s="23"/>
      <c r="G64" s="23"/>
      <c r="H64" s="23">
        <f t="shared" si="1"/>
        <v>0</v>
      </c>
      <c r="I64" s="11"/>
      <c r="J64" s="17"/>
      <c r="K64" s="11"/>
    </row>
    <row r="65" spans="1:11" x14ac:dyDescent="0.25">
      <c r="A65" s="8"/>
      <c r="B65" s="8"/>
      <c r="C65" s="8"/>
      <c r="D65" s="6"/>
      <c r="E65" s="6"/>
      <c r="F65" s="6"/>
      <c r="G65" s="6"/>
      <c r="H65" s="6">
        <f t="shared" si="1"/>
        <v>0</v>
      </c>
      <c r="I65" s="8"/>
      <c r="J65" s="18"/>
      <c r="K65" s="8"/>
    </row>
    <row r="67" spans="1:11" x14ac:dyDescent="0.25">
      <c r="C67" s="14" t="s">
        <v>168</v>
      </c>
      <c r="D67" s="24">
        <f>SUM(D6:D65)</f>
        <v>18999</v>
      </c>
      <c r="E67" s="24">
        <f>SUM(E6:E65)</f>
        <v>16049</v>
      </c>
      <c r="F67" s="24">
        <f>SUM(F6:F65)</f>
        <v>3299</v>
      </c>
      <c r="G67" s="24">
        <f>SUM(G6:G65)</f>
        <v>3299</v>
      </c>
      <c r="H67" s="24">
        <f>SUM(H6:H65)</f>
        <v>12750</v>
      </c>
    </row>
  </sheetData>
  <mergeCells count="2">
    <mergeCell ref="A2:F2"/>
    <mergeCell ref="A1:F1"/>
  </mergeCells>
  <dataValidations count="2">
    <dataValidation type="list" allowBlank="1" sqref="A6:A65" xr:uid="{00000000-0002-0000-0400-000000000000}">
      <formula1>"Location,Catering,Zeremonie,Foto &amp; Video,Dekoration,Musik,Kleidung,Ringe,Papeterie,Fahrzeug,Übernachtung,Sonstiges"</formula1>
    </dataValidation>
    <dataValidation type="list" allowBlank="1" sqref="I6:I65" xr:uid="{00000000-0002-0000-0400-000001000000}">
      <formula1>"Offen,Angebot liegt vor,Gebucht,Angezahlt,Bezahlt"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7C9885"/>
  </sheetPr>
  <dimension ref="A1:F70"/>
  <sheetViews>
    <sheetView showGridLines="0" workbookViewId="0">
      <pane ySplit="5" topLeftCell="A6" activePane="bottomLeft" state="frozen"/>
      <selection pane="bottomLeft" sqref="A1:F1"/>
    </sheetView>
  </sheetViews>
  <sheetFormatPr baseColWidth="10" defaultColWidth="9.140625" defaultRowHeight="15" x14ac:dyDescent="0.25"/>
  <cols>
    <col min="1" max="1" width="26" customWidth="1"/>
    <col min="2" max="2" width="56" customWidth="1"/>
    <col min="3" max="3" width="18" customWidth="1"/>
    <col min="4" max="4" width="14" customWidth="1"/>
    <col min="5" max="5" width="16" customWidth="1"/>
    <col min="6" max="6" width="30" customWidth="1"/>
  </cols>
  <sheetData>
    <row r="1" spans="1:6" ht="33.950000000000003" customHeight="1" x14ac:dyDescent="0.25">
      <c r="A1" s="32" t="s">
        <v>169</v>
      </c>
      <c r="B1" s="33"/>
      <c r="C1" s="33"/>
      <c r="D1" s="33"/>
      <c r="E1" s="33"/>
      <c r="F1" s="33"/>
    </row>
    <row r="2" spans="1:6" ht="15.95" customHeight="1" x14ac:dyDescent="0.25">
      <c r="A2" s="25" t="s">
        <v>170</v>
      </c>
      <c r="B2" s="26"/>
      <c r="C2" s="26"/>
      <c r="D2" s="26"/>
      <c r="E2" s="26"/>
      <c r="F2" s="26"/>
    </row>
    <row r="5" spans="1:6" ht="30" customHeight="1" x14ac:dyDescent="0.25">
      <c r="A5" s="16" t="s">
        <v>171</v>
      </c>
      <c r="B5" s="16" t="s">
        <v>172</v>
      </c>
      <c r="C5" s="16" t="s">
        <v>173</v>
      </c>
      <c r="D5" s="16" t="s">
        <v>174</v>
      </c>
      <c r="E5" s="16" t="s">
        <v>150</v>
      </c>
      <c r="F5" s="16" t="s">
        <v>68</v>
      </c>
    </row>
    <row r="6" spans="1:6" x14ac:dyDescent="0.25">
      <c r="A6" s="11" t="s">
        <v>175</v>
      </c>
      <c r="B6" s="11" t="s">
        <v>176</v>
      </c>
      <c r="C6" s="11"/>
      <c r="D6" s="17"/>
      <c r="E6" s="11" t="s">
        <v>23</v>
      </c>
      <c r="F6" s="11"/>
    </row>
    <row r="7" spans="1:6" x14ac:dyDescent="0.25">
      <c r="A7" s="8" t="s">
        <v>175</v>
      </c>
      <c r="B7" s="8" t="s">
        <v>177</v>
      </c>
      <c r="C7" s="8"/>
      <c r="D7" s="18"/>
      <c r="E7" s="8" t="s">
        <v>23</v>
      </c>
      <c r="F7" s="8"/>
    </row>
    <row r="8" spans="1:6" x14ac:dyDescent="0.25">
      <c r="A8" s="11" t="s">
        <v>175</v>
      </c>
      <c r="B8" s="11" t="s">
        <v>178</v>
      </c>
      <c r="C8" s="11"/>
      <c r="D8" s="17"/>
      <c r="E8" s="11" t="s">
        <v>23</v>
      </c>
      <c r="F8" s="11"/>
    </row>
    <row r="9" spans="1:6" x14ac:dyDescent="0.25">
      <c r="A9" s="8" t="s">
        <v>175</v>
      </c>
      <c r="B9" s="8" t="s">
        <v>179</v>
      </c>
      <c r="C9" s="8"/>
      <c r="D9" s="18"/>
      <c r="E9" s="8" t="s">
        <v>23</v>
      </c>
      <c r="F9" s="8"/>
    </row>
    <row r="10" spans="1:6" x14ac:dyDescent="0.25">
      <c r="A10" s="11" t="s">
        <v>175</v>
      </c>
      <c r="B10" s="11" t="s">
        <v>180</v>
      </c>
      <c r="C10" s="11"/>
      <c r="D10" s="17"/>
      <c r="E10" s="11" t="s">
        <v>23</v>
      </c>
      <c r="F10" s="11"/>
    </row>
    <row r="11" spans="1:6" x14ac:dyDescent="0.25">
      <c r="A11" s="8" t="s">
        <v>175</v>
      </c>
      <c r="B11" s="8" t="s">
        <v>181</v>
      </c>
      <c r="C11" s="8"/>
      <c r="D11" s="18"/>
      <c r="E11" s="8" t="s">
        <v>23</v>
      </c>
      <c r="F11" s="8"/>
    </row>
    <row r="12" spans="1:6" x14ac:dyDescent="0.25">
      <c r="A12" s="11" t="s">
        <v>175</v>
      </c>
      <c r="B12" s="11" t="s">
        <v>182</v>
      </c>
      <c r="C12" s="11"/>
      <c r="D12" s="17"/>
      <c r="E12" s="11" t="s">
        <v>23</v>
      </c>
      <c r="F12" s="11"/>
    </row>
    <row r="13" spans="1:6" x14ac:dyDescent="0.25">
      <c r="A13" s="8" t="s">
        <v>183</v>
      </c>
      <c r="B13" s="8" t="s">
        <v>184</v>
      </c>
      <c r="C13" s="8"/>
      <c r="D13" s="18"/>
      <c r="E13" s="8" t="s">
        <v>23</v>
      </c>
      <c r="F13" s="8"/>
    </row>
    <row r="14" spans="1:6" x14ac:dyDescent="0.25">
      <c r="A14" s="11" t="s">
        <v>183</v>
      </c>
      <c r="B14" s="11" t="s">
        <v>185</v>
      </c>
      <c r="C14" s="11"/>
      <c r="D14" s="17"/>
      <c r="E14" s="11" t="s">
        <v>23</v>
      </c>
      <c r="F14" s="11"/>
    </row>
    <row r="15" spans="1:6" x14ac:dyDescent="0.25">
      <c r="A15" s="8" t="s">
        <v>183</v>
      </c>
      <c r="B15" s="8" t="s">
        <v>186</v>
      </c>
      <c r="C15" s="8"/>
      <c r="D15" s="18"/>
      <c r="E15" s="8" t="s">
        <v>23</v>
      </c>
      <c r="F15" s="8"/>
    </row>
    <row r="16" spans="1:6" x14ac:dyDescent="0.25">
      <c r="A16" s="11" t="s">
        <v>183</v>
      </c>
      <c r="B16" s="11" t="s">
        <v>187</v>
      </c>
      <c r="C16" s="11"/>
      <c r="D16" s="17"/>
      <c r="E16" s="11" t="s">
        <v>23</v>
      </c>
      <c r="F16" s="11"/>
    </row>
    <row r="17" spans="1:6" x14ac:dyDescent="0.25">
      <c r="A17" s="8" t="s">
        <v>183</v>
      </c>
      <c r="B17" s="8" t="s">
        <v>188</v>
      </c>
      <c r="C17" s="8"/>
      <c r="D17" s="18"/>
      <c r="E17" s="8" t="s">
        <v>23</v>
      </c>
      <c r="F17" s="8"/>
    </row>
    <row r="18" spans="1:6" x14ac:dyDescent="0.25">
      <c r="A18" s="11" t="s">
        <v>183</v>
      </c>
      <c r="B18" s="11" t="s">
        <v>189</v>
      </c>
      <c r="C18" s="11"/>
      <c r="D18" s="17"/>
      <c r="E18" s="11" t="s">
        <v>23</v>
      </c>
      <c r="F18" s="11"/>
    </row>
    <row r="19" spans="1:6" x14ac:dyDescent="0.25">
      <c r="A19" s="8" t="s">
        <v>190</v>
      </c>
      <c r="B19" s="8" t="s">
        <v>191</v>
      </c>
      <c r="C19" s="8"/>
      <c r="D19" s="18"/>
      <c r="E19" s="8" t="s">
        <v>23</v>
      </c>
      <c r="F19" s="8"/>
    </row>
    <row r="20" spans="1:6" x14ac:dyDescent="0.25">
      <c r="A20" s="11" t="s">
        <v>190</v>
      </c>
      <c r="B20" s="11" t="s">
        <v>192</v>
      </c>
      <c r="C20" s="11"/>
      <c r="D20" s="17"/>
      <c r="E20" s="11" t="s">
        <v>23</v>
      </c>
      <c r="F20" s="11"/>
    </row>
    <row r="21" spans="1:6" x14ac:dyDescent="0.25">
      <c r="A21" s="8" t="s">
        <v>190</v>
      </c>
      <c r="B21" s="8" t="s">
        <v>193</v>
      </c>
      <c r="C21" s="8"/>
      <c r="D21" s="18"/>
      <c r="E21" s="8" t="s">
        <v>23</v>
      </c>
      <c r="F21" s="8"/>
    </row>
    <row r="22" spans="1:6" x14ac:dyDescent="0.25">
      <c r="A22" s="11" t="s">
        <v>190</v>
      </c>
      <c r="B22" s="11" t="s">
        <v>194</v>
      </c>
      <c r="C22" s="11"/>
      <c r="D22" s="17"/>
      <c r="E22" s="11" t="s">
        <v>23</v>
      </c>
      <c r="F22" s="11"/>
    </row>
    <row r="23" spans="1:6" x14ac:dyDescent="0.25">
      <c r="A23" s="8" t="s">
        <v>190</v>
      </c>
      <c r="B23" s="8" t="s">
        <v>195</v>
      </c>
      <c r="C23" s="8"/>
      <c r="D23" s="18"/>
      <c r="E23" s="8" t="s">
        <v>23</v>
      </c>
      <c r="F23" s="8"/>
    </row>
    <row r="24" spans="1:6" x14ac:dyDescent="0.25">
      <c r="A24" s="11" t="s">
        <v>190</v>
      </c>
      <c r="B24" s="11" t="s">
        <v>196</v>
      </c>
      <c r="C24" s="11"/>
      <c r="D24" s="17"/>
      <c r="E24" s="11" t="s">
        <v>23</v>
      </c>
      <c r="F24" s="11"/>
    </row>
    <row r="25" spans="1:6" x14ac:dyDescent="0.25">
      <c r="A25" s="8" t="s">
        <v>197</v>
      </c>
      <c r="B25" s="8" t="s">
        <v>198</v>
      </c>
      <c r="C25" s="8"/>
      <c r="D25" s="18"/>
      <c r="E25" s="8" t="s">
        <v>23</v>
      </c>
      <c r="F25" s="8"/>
    </row>
    <row r="26" spans="1:6" x14ac:dyDescent="0.25">
      <c r="A26" s="11" t="s">
        <v>197</v>
      </c>
      <c r="B26" s="11" t="s">
        <v>199</v>
      </c>
      <c r="C26" s="11"/>
      <c r="D26" s="17"/>
      <c r="E26" s="11" t="s">
        <v>23</v>
      </c>
      <c r="F26" s="11"/>
    </row>
    <row r="27" spans="1:6" x14ac:dyDescent="0.25">
      <c r="A27" s="8" t="s">
        <v>197</v>
      </c>
      <c r="B27" s="8" t="s">
        <v>200</v>
      </c>
      <c r="C27" s="8"/>
      <c r="D27" s="18"/>
      <c r="E27" s="8" t="s">
        <v>23</v>
      </c>
      <c r="F27" s="8"/>
    </row>
    <row r="28" spans="1:6" x14ac:dyDescent="0.25">
      <c r="A28" s="11" t="s">
        <v>197</v>
      </c>
      <c r="B28" s="11" t="s">
        <v>201</v>
      </c>
      <c r="C28" s="11"/>
      <c r="D28" s="17"/>
      <c r="E28" s="11" t="s">
        <v>23</v>
      </c>
      <c r="F28" s="11"/>
    </row>
    <row r="29" spans="1:6" x14ac:dyDescent="0.25">
      <c r="A29" s="8" t="s">
        <v>197</v>
      </c>
      <c r="B29" s="8" t="s">
        <v>202</v>
      </c>
      <c r="C29" s="8"/>
      <c r="D29" s="18"/>
      <c r="E29" s="8" t="s">
        <v>23</v>
      </c>
      <c r="F29" s="8"/>
    </row>
    <row r="30" spans="1:6" x14ac:dyDescent="0.25">
      <c r="A30" s="11" t="s">
        <v>197</v>
      </c>
      <c r="B30" s="11" t="s">
        <v>203</v>
      </c>
      <c r="C30" s="11"/>
      <c r="D30" s="17"/>
      <c r="E30" s="11" t="s">
        <v>23</v>
      </c>
      <c r="F30" s="11"/>
    </row>
    <row r="31" spans="1:6" x14ac:dyDescent="0.25">
      <c r="A31" s="8" t="s">
        <v>197</v>
      </c>
      <c r="B31" s="8" t="s">
        <v>204</v>
      </c>
      <c r="C31" s="8"/>
      <c r="D31" s="18"/>
      <c r="E31" s="8" t="s">
        <v>23</v>
      </c>
      <c r="F31" s="8"/>
    </row>
    <row r="32" spans="1:6" x14ac:dyDescent="0.25">
      <c r="A32" s="11" t="s">
        <v>205</v>
      </c>
      <c r="B32" s="11" t="s">
        <v>206</v>
      </c>
      <c r="C32" s="11"/>
      <c r="D32" s="17"/>
      <c r="E32" s="11" t="s">
        <v>23</v>
      </c>
      <c r="F32" s="11"/>
    </row>
    <row r="33" spans="1:6" x14ac:dyDescent="0.25">
      <c r="A33" s="8" t="s">
        <v>205</v>
      </c>
      <c r="B33" s="8" t="s">
        <v>207</v>
      </c>
      <c r="C33" s="8"/>
      <c r="D33" s="18"/>
      <c r="E33" s="8" t="s">
        <v>23</v>
      </c>
      <c r="F33" s="8"/>
    </row>
    <row r="34" spans="1:6" x14ac:dyDescent="0.25">
      <c r="A34" s="11" t="s">
        <v>205</v>
      </c>
      <c r="B34" s="11" t="s">
        <v>208</v>
      </c>
      <c r="C34" s="11"/>
      <c r="D34" s="17"/>
      <c r="E34" s="11" t="s">
        <v>23</v>
      </c>
      <c r="F34" s="11"/>
    </row>
    <row r="35" spans="1:6" x14ac:dyDescent="0.25">
      <c r="A35" s="8" t="s">
        <v>205</v>
      </c>
      <c r="B35" s="8" t="s">
        <v>209</v>
      </c>
      <c r="C35" s="8"/>
      <c r="D35" s="18"/>
      <c r="E35" s="8" t="s">
        <v>23</v>
      </c>
      <c r="F35" s="8"/>
    </row>
    <row r="36" spans="1:6" x14ac:dyDescent="0.25">
      <c r="A36" s="11" t="s">
        <v>205</v>
      </c>
      <c r="B36" s="11" t="s">
        <v>210</v>
      </c>
      <c r="C36" s="11"/>
      <c r="D36" s="17"/>
      <c r="E36" s="11" t="s">
        <v>23</v>
      </c>
      <c r="F36" s="11"/>
    </row>
    <row r="37" spans="1:6" x14ac:dyDescent="0.25">
      <c r="A37" s="8" t="s">
        <v>205</v>
      </c>
      <c r="B37" s="8" t="s">
        <v>211</v>
      </c>
      <c r="C37" s="8"/>
      <c r="D37" s="18"/>
      <c r="E37" s="8" t="s">
        <v>23</v>
      </c>
      <c r="F37" s="8"/>
    </row>
    <row r="38" spans="1:6" x14ac:dyDescent="0.25">
      <c r="A38" s="11" t="s">
        <v>212</v>
      </c>
      <c r="B38" s="11" t="s">
        <v>213</v>
      </c>
      <c r="C38" s="11"/>
      <c r="D38" s="17"/>
      <c r="E38" s="11" t="s">
        <v>23</v>
      </c>
      <c r="F38" s="11"/>
    </row>
    <row r="39" spans="1:6" x14ac:dyDescent="0.25">
      <c r="A39" s="8" t="s">
        <v>212</v>
      </c>
      <c r="B39" s="8" t="s">
        <v>214</v>
      </c>
      <c r="C39" s="8"/>
      <c r="D39" s="18"/>
      <c r="E39" s="8" t="s">
        <v>23</v>
      </c>
      <c r="F39" s="8"/>
    </row>
    <row r="40" spans="1:6" x14ac:dyDescent="0.25">
      <c r="A40" s="11" t="s">
        <v>212</v>
      </c>
      <c r="B40" s="11" t="s">
        <v>215</v>
      </c>
      <c r="C40" s="11"/>
      <c r="D40" s="17"/>
      <c r="E40" s="11" t="s">
        <v>23</v>
      </c>
      <c r="F40" s="11"/>
    </row>
    <row r="41" spans="1:6" x14ac:dyDescent="0.25">
      <c r="A41" s="8" t="s">
        <v>212</v>
      </c>
      <c r="B41" s="8" t="s">
        <v>216</v>
      </c>
      <c r="C41" s="8"/>
      <c r="D41" s="18"/>
      <c r="E41" s="8" t="s">
        <v>23</v>
      </c>
      <c r="F41" s="8"/>
    </row>
    <row r="42" spans="1:6" x14ac:dyDescent="0.25">
      <c r="A42" s="11" t="s">
        <v>212</v>
      </c>
      <c r="B42" s="11" t="s">
        <v>217</v>
      </c>
      <c r="C42" s="11"/>
      <c r="D42" s="17"/>
      <c r="E42" s="11" t="s">
        <v>23</v>
      </c>
      <c r="F42" s="11"/>
    </row>
    <row r="43" spans="1:6" x14ac:dyDescent="0.25">
      <c r="A43" s="8" t="s">
        <v>212</v>
      </c>
      <c r="B43" s="8" t="s">
        <v>218</v>
      </c>
      <c r="C43" s="8"/>
      <c r="D43" s="18"/>
      <c r="E43" s="8" t="s">
        <v>23</v>
      </c>
      <c r="F43" s="8"/>
    </row>
    <row r="44" spans="1:6" x14ac:dyDescent="0.25">
      <c r="A44" s="11" t="s">
        <v>219</v>
      </c>
      <c r="B44" s="11" t="s">
        <v>220</v>
      </c>
      <c r="C44" s="11"/>
      <c r="D44" s="17"/>
      <c r="E44" s="11" t="s">
        <v>23</v>
      </c>
      <c r="F44" s="11"/>
    </row>
    <row r="45" spans="1:6" x14ac:dyDescent="0.25">
      <c r="A45" s="8" t="s">
        <v>219</v>
      </c>
      <c r="B45" s="8" t="s">
        <v>221</v>
      </c>
      <c r="C45" s="8"/>
      <c r="D45" s="18"/>
      <c r="E45" s="8" t="s">
        <v>23</v>
      </c>
      <c r="F45" s="8"/>
    </row>
    <row r="46" spans="1:6" x14ac:dyDescent="0.25">
      <c r="A46" s="11" t="s">
        <v>219</v>
      </c>
      <c r="B46" s="11" t="s">
        <v>222</v>
      </c>
      <c r="C46" s="11"/>
      <c r="D46" s="17"/>
      <c r="E46" s="11" t="s">
        <v>23</v>
      </c>
      <c r="F46" s="11"/>
    </row>
    <row r="47" spans="1:6" x14ac:dyDescent="0.25">
      <c r="A47" s="8" t="s">
        <v>219</v>
      </c>
      <c r="B47" s="8" t="s">
        <v>223</v>
      </c>
      <c r="C47" s="8"/>
      <c r="D47" s="18"/>
      <c r="E47" s="8" t="s">
        <v>23</v>
      </c>
      <c r="F47" s="8"/>
    </row>
    <row r="48" spans="1:6" x14ac:dyDescent="0.25">
      <c r="A48" s="11" t="s">
        <v>219</v>
      </c>
      <c r="B48" s="11" t="s">
        <v>224</v>
      </c>
      <c r="C48" s="11"/>
      <c r="D48" s="17"/>
      <c r="E48" s="11" t="s">
        <v>23</v>
      </c>
      <c r="F48" s="11"/>
    </row>
    <row r="49" spans="1:6" x14ac:dyDescent="0.25">
      <c r="A49" s="8" t="s">
        <v>225</v>
      </c>
      <c r="B49" s="8" t="s">
        <v>226</v>
      </c>
      <c r="C49" s="8"/>
      <c r="D49" s="18"/>
      <c r="E49" s="8" t="s">
        <v>23</v>
      </c>
      <c r="F49" s="8"/>
    </row>
    <row r="50" spans="1:6" x14ac:dyDescent="0.25">
      <c r="A50" s="11" t="s">
        <v>225</v>
      </c>
      <c r="B50" s="11" t="s">
        <v>227</v>
      </c>
      <c r="C50" s="11"/>
      <c r="D50" s="17"/>
      <c r="E50" s="11" t="s">
        <v>23</v>
      </c>
      <c r="F50" s="11"/>
    </row>
    <row r="51" spans="1:6" x14ac:dyDescent="0.25">
      <c r="A51" s="8" t="s">
        <v>225</v>
      </c>
      <c r="B51" s="8" t="s">
        <v>228</v>
      </c>
      <c r="C51" s="8"/>
      <c r="D51" s="18"/>
      <c r="E51" s="8" t="s">
        <v>23</v>
      </c>
      <c r="F51" s="8"/>
    </row>
    <row r="52" spans="1:6" x14ac:dyDescent="0.25">
      <c r="A52" s="11" t="s">
        <v>225</v>
      </c>
      <c r="B52" s="11" t="s">
        <v>229</v>
      </c>
      <c r="C52" s="11"/>
      <c r="D52" s="17"/>
      <c r="E52" s="11" t="s">
        <v>23</v>
      </c>
      <c r="F52" s="11"/>
    </row>
    <row r="53" spans="1:6" x14ac:dyDescent="0.25">
      <c r="A53" s="8" t="s">
        <v>225</v>
      </c>
      <c r="B53" s="8" t="s">
        <v>230</v>
      </c>
      <c r="C53" s="8"/>
      <c r="D53" s="18"/>
      <c r="E53" s="8" t="s">
        <v>23</v>
      </c>
      <c r="F53" s="8"/>
    </row>
    <row r="54" spans="1:6" x14ac:dyDescent="0.25">
      <c r="A54" s="11"/>
      <c r="B54" s="11"/>
      <c r="C54" s="11"/>
      <c r="D54" s="17"/>
      <c r="E54" s="11"/>
      <c r="F54" s="11"/>
    </row>
    <row r="55" spans="1:6" x14ac:dyDescent="0.25">
      <c r="A55" s="8"/>
      <c r="B55" s="8"/>
      <c r="C55" s="8"/>
      <c r="D55" s="18"/>
      <c r="E55" s="8"/>
      <c r="F55" s="8"/>
    </row>
    <row r="56" spans="1:6" x14ac:dyDescent="0.25">
      <c r="A56" s="11"/>
      <c r="B56" s="11"/>
      <c r="C56" s="11"/>
      <c r="D56" s="17"/>
      <c r="E56" s="11"/>
      <c r="F56" s="11"/>
    </row>
    <row r="57" spans="1:6" x14ac:dyDescent="0.25">
      <c r="A57" s="8"/>
      <c r="B57" s="8"/>
      <c r="C57" s="8"/>
      <c r="D57" s="18"/>
      <c r="E57" s="8"/>
      <c r="F57" s="8"/>
    </row>
    <row r="58" spans="1:6" x14ac:dyDescent="0.25">
      <c r="A58" s="11"/>
      <c r="B58" s="11"/>
      <c r="C58" s="11"/>
      <c r="D58" s="17"/>
      <c r="E58" s="11"/>
      <c r="F58" s="11"/>
    </row>
    <row r="59" spans="1:6" x14ac:dyDescent="0.25">
      <c r="A59" s="8"/>
      <c r="B59" s="8"/>
      <c r="C59" s="8"/>
      <c r="D59" s="18"/>
      <c r="E59" s="8"/>
      <c r="F59" s="8"/>
    </row>
    <row r="60" spans="1:6" x14ac:dyDescent="0.25">
      <c r="A60" s="11"/>
      <c r="B60" s="11"/>
      <c r="C60" s="11"/>
      <c r="D60" s="17"/>
      <c r="E60" s="11"/>
      <c r="F60" s="11"/>
    </row>
    <row r="61" spans="1:6" x14ac:dyDescent="0.25">
      <c r="A61" s="8"/>
      <c r="B61" s="8"/>
      <c r="C61" s="8"/>
      <c r="D61" s="18"/>
      <c r="E61" s="8"/>
      <c r="F61" s="8"/>
    </row>
    <row r="62" spans="1:6" x14ac:dyDescent="0.25">
      <c r="A62" s="11"/>
      <c r="B62" s="11"/>
      <c r="C62" s="11"/>
      <c r="D62" s="17"/>
      <c r="E62" s="11"/>
      <c r="F62" s="11"/>
    </row>
    <row r="63" spans="1:6" x14ac:dyDescent="0.25">
      <c r="A63" s="8"/>
      <c r="B63" s="8"/>
      <c r="C63" s="8"/>
      <c r="D63" s="18"/>
      <c r="E63" s="8"/>
      <c r="F63" s="8"/>
    </row>
    <row r="64" spans="1:6" x14ac:dyDescent="0.25">
      <c r="A64" s="11"/>
      <c r="B64" s="11"/>
      <c r="C64" s="11"/>
      <c r="D64" s="17"/>
      <c r="E64" s="11"/>
      <c r="F64" s="11"/>
    </row>
    <row r="65" spans="1:6" x14ac:dyDescent="0.25">
      <c r="A65" s="8"/>
      <c r="B65" s="8"/>
      <c r="C65" s="8"/>
      <c r="D65" s="18"/>
      <c r="E65" s="8"/>
      <c r="F65" s="8"/>
    </row>
    <row r="66" spans="1:6" x14ac:dyDescent="0.25">
      <c r="A66" s="11"/>
      <c r="B66" s="11"/>
      <c r="C66" s="11"/>
      <c r="D66" s="17"/>
      <c r="E66" s="11"/>
      <c r="F66" s="11"/>
    </row>
    <row r="67" spans="1:6" x14ac:dyDescent="0.25">
      <c r="A67" s="8"/>
      <c r="B67" s="8"/>
      <c r="C67" s="8"/>
      <c r="D67" s="18"/>
      <c r="E67" s="8"/>
      <c r="F67" s="8"/>
    </row>
    <row r="68" spans="1:6" x14ac:dyDescent="0.25">
      <c r="A68" s="11"/>
      <c r="B68" s="11"/>
      <c r="C68" s="11"/>
      <c r="D68" s="17"/>
      <c r="E68" s="11"/>
      <c r="F68" s="11"/>
    </row>
    <row r="69" spans="1:6" x14ac:dyDescent="0.25">
      <c r="A69" s="8"/>
      <c r="B69" s="8"/>
      <c r="C69" s="8"/>
      <c r="D69" s="18"/>
      <c r="E69" s="8"/>
      <c r="F69" s="8"/>
    </row>
    <row r="70" spans="1:6" x14ac:dyDescent="0.25">
      <c r="A70" s="11"/>
      <c r="B70" s="11"/>
      <c r="C70" s="11"/>
      <c r="D70" s="17"/>
      <c r="E70" s="11"/>
      <c r="F70" s="11"/>
    </row>
  </sheetData>
  <mergeCells count="2">
    <mergeCell ref="A2:F2"/>
    <mergeCell ref="A1:F1"/>
  </mergeCells>
  <conditionalFormatting sqref="E6:E70">
    <cfRule type="cellIs" dxfId="4" priority="1" operator="equal">
      <formula>"Erledigt"</formula>
    </cfRule>
    <cfRule type="cellIs" dxfId="3" priority="2" operator="equal">
      <formula>"In Arbeit"</formula>
    </cfRule>
    <cfRule type="cellIs" dxfId="2" priority="3" operator="equal">
      <formula>"Entfällt"</formula>
    </cfRule>
  </conditionalFormatting>
  <dataValidations count="1">
    <dataValidation type="list" allowBlank="1" sqref="E6:E70" xr:uid="{00000000-0002-0000-0500-000000000000}">
      <formula1>"Offen,In Arbeit,Erledigt,Entfällt"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7C9885"/>
  </sheetPr>
  <dimension ref="A1:J60"/>
  <sheetViews>
    <sheetView showGridLines="0" workbookViewId="0">
      <pane ySplit="5" topLeftCell="A6" activePane="bottomLeft" state="frozen"/>
      <selection pane="bottomLeft" sqref="A1:F1"/>
    </sheetView>
  </sheetViews>
  <sheetFormatPr baseColWidth="10" defaultColWidth="9.140625" defaultRowHeight="15" x14ac:dyDescent="0.25"/>
  <cols>
    <col min="1" max="1" width="20" customWidth="1"/>
    <col min="2" max="2" width="26" customWidth="1"/>
    <col min="3" max="3" width="22" customWidth="1"/>
    <col min="4" max="4" width="16" customWidth="1"/>
    <col min="5" max="5" width="26" customWidth="1"/>
    <col min="6" max="6" width="14" customWidth="1"/>
    <col min="7" max="7" width="18" customWidth="1"/>
    <col min="8" max="8" width="20" customWidth="1"/>
    <col min="9" max="9" width="16" customWidth="1"/>
    <col min="10" max="10" width="30" customWidth="1"/>
  </cols>
  <sheetData>
    <row r="1" spans="1:10" ht="33.950000000000003" customHeight="1" x14ac:dyDescent="0.25">
      <c r="A1" s="32" t="s">
        <v>231</v>
      </c>
      <c r="B1" s="33"/>
      <c r="C1" s="33"/>
      <c r="D1" s="33"/>
      <c r="E1" s="33"/>
      <c r="F1" s="33"/>
    </row>
    <row r="2" spans="1:10" ht="15.95" customHeight="1" x14ac:dyDescent="0.25">
      <c r="A2" s="25" t="s">
        <v>232</v>
      </c>
      <c r="B2" s="26"/>
      <c r="C2" s="26"/>
      <c r="D2" s="26"/>
      <c r="E2" s="26"/>
      <c r="F2" s="26"/>
    </row>
    <row r="5" spans="1:10" ht="30" customHeight="1" x14ac:dyDescent="0.25">
      <c r="A5" s="16" t="s">
        <v>142</v>
      </c>
      <c r="B5" s="16" t="s">
        <v>233</v>
      </c>
      <c r="C5" s="16" t="s">
        <v>67</v>
      </c>
      <c r="D5" s="16" t="s">
        <v>109</v>
      </c>
      <c r="E5" s="16" t="s">
        <v>108</v>
      </c>
      <c r="F5" s="16" t="s">
        <v>146</v>
      </c>
      <c r="G5" s="16" t="s">
        <v>150</v>
      </c>
      <c r="H5" s="16" t="s">
        <v>234</v>
      </c>
      <c r="I5" s="16" t="s">
        <v>235</v>
      </c>
      <c r="J5" s="16" t="s">
        <v>68</v>
      </c>
    </row>
    <row r="6" spans="1:10" x14ac:dyDescent="0.25">
      <c r="A6" s="11" t="s">
        <v>152</v>
      </c>
      <c r="B6" s="11" t="s">
        <v>154</v>
      </c>
      <c r="C6" s="11" t="s">
        <v>236</v>
      </c>
      <c r="D6" s="11" t="s">
        <v>237</v>
      </c>
      <c r="E6" s="11" t="s">
        <v>238</v>
      </c>
      <c r="F6" s="23">
        <v>6800</v>
      </c>
      <c r="G6" s="11" t="s">
        <v>239</v>
      </c>
      <c r="H6" s="11" t="s">
        <v>124</v>
      </c>
      <c r="I6" s="11">
        <v>5</v>
      </c>
      <c r="J6" s="11" t="s">
        <v>92</v>
      </c>
    </row>
    <row r="7" spans="1:10" x14ac:dyDescent="0.25">
      <c r="A7" s="8" t="s">
        <v>160</v>
      </c>
      <c r="B7" s="8" t="s">
        <v>161</v>
      </c>
      <c r="C7" s="8" t="s">
        <v>91</v>
      </c>
      <c r="D7" s="8"/>
      <c r="E7" s="8" t="s">
        <v>240</v>
      </c>
      <c r="F7" s="6">
        <v>1299</v>
      </c>
      <c r="G7" s="8" t="s">
        <v>239</v>
      </c>
      <c r="H7" s="8" t="s">
        <v>124</v>
      </c>
      <c r="I7" s="8">
        <v>5</v>
      </c>
      <c r="J7" s="8" t="s">
        <v>162</v>
      </c>
    </row>
    <row r="8" spans="1:10" x14ac:dyDescent="0.25">
      <c r="A8" s="11" t="s">
        <v>163</v>
      </c>
      <c r="B8" s="11" t="s">
        <v>241</v>
      </c>
      <c r="C8" s="11"/>
      <c r="D8" s="11"/>
      <c r="E8" s="11"/>
      <c r="F8" s="23">
        <v>2200</v>
      </c>
      <c r="G8" s="11" t="s">
        <v>159</v>
      </c>
      <c r="H8" s="11" t="s">
        <v>133</v>
      </c>
      <c r="I8" s="11">
        <v>4</v>
      </c>
      <c r="J8" s="11" t="s">
        <v>92</v>
      </c>
    </row>
    <row r="9" spans="1:10" x14ac:dyDescent="0.25">
      <c r="A9" s="8"/>
      <c r="B9" s="8"/>
      <c r="C9" s="8"/>
      <c r="D9" s="8"/>
      <c r="E9" s="8"/>
      <c r="F9" s="6"/>
      <c r="G9" s="8"/>
      <c r="H9" s="8"/>
      <c r="I9" s="8"/>
      <c r="J9" s="8"/>
    </row>
    <row r="10" spans="1:10" x14ac:dyDescent="0.25">
      <c r="A10" s="11"/>
      <c r="B10" s="11"/>
      <c r="C10" s="11"/>
      <c r="D10" s="11"/>
      <c r="E10" s="11"/>
      <c r="F10" s="23"/>
      <c r="G10" s="11"/>
      <c r="H10" s="11"/>
      <c r="I10" s="11"/>
      <c r="J10" s="11"/>
    </row>
    <row r="11" spans="1:10" x14ac:dyDescent="0.25">
      <c r="A11" s="8"/>
      <c r="B11" s="8"/>
      <c r="C11" s="8"/>
      <c r="D11" s="8"/>
      <c r="E11" s="8"/>
      <c r="F11" s="6"/>
      <c r="G11" s="8"/>
      <c r="H11" s="8"/>
      <c r="I11" s="8"/>
      <c r="J11" s="8"/>
    </row>
    <row r="12" spans="1:10" x14ac:dyDescent="0.25">
      <c r="A12" s="11"/>
      <c r="B12" s="11"/>
      <c r="C12" s="11"/>
      <c r="D12" s="11"/>
      <c r="E12" s="11"/>
      <c r="F12" s="23"/>
      <c r="G12" s="11"/>
      <c r="H12" s="11"/>
      <c r="I12" s="11"/>
      <c r="J12" s="11"/>
    </row>
    <row r="13" spans="1:10" x14ac:dyDescent="0.25">
      <c r="A13" s="8"/>
      <c r="B13" s="8"/>
      <c r="C13" s="8"/>
      <c r="D13" s="8"/>
      <c r="E13" s="8"/>
      <c r="F13" s="6"/>
      <c r="G13" s="8"/>
      <c r="H13" s="8"/>
      <c r="I13" s="8"/>
      <c r="J13" s="8"/>
    </row>
    <row r="14" spans="1:10" x14ac:dyDescent="0.25">
      <c r="A14" s="11"/>
      <c r="B14" s="11"/>
      <c r="C14" s="11"/>
      <c r="D14" s="11"/>
      <c r="E14" s="11"/>
      <c r="F14" s="23"/>
      <c r="G14" s="11"/>
      <c r="H14" s="11"/>
      <c r="I14" s="11"/>
      <c r="J14" s="11"/>
    </row>
    <row r="15" spans="1:10" x14ac:dyDescent="0.25">
      <c r="A15" s="8"/>
      <c r="B15" s="8"/>
      <c r="C15" s="8"/>
      <c r="D15" s="8"/>
      <c r="E15" s="8"/>
      <c r="F15" s="6"/>
      <c r="G15" s="8"/>
      <c r="H15" s="8"/>
      <c r="I15" s="8"/>
      <c r="J15" s="8"/>
    </row>
    <row r="16" spans="1:10" x14ac:dyDescent="0.25">
      <c r="A16" s="11"/>
      <c r="B16" s="11"/>
      <c r="C16" s="11"/>
      <c r="D16" s="11"/>
      <c r="E16" s="11"/>
      <c r="F16" s="23"/>
      <c r="G16" s="11"/>
      <c r="H16" s="11"/>
      <c r="I16" s="11"/>
      <c r="J16" s="11"/>
    </row>
    <row r="17" spans="1:10" x14ac:dyDescent="0.25">
      <c r="A17" s="8"/>
      <c r="B17" s="8"/>
      <c r="C17" s="8"/>
      <c r="D17" s="8"/>
      <c r="E17" s="8"/>
      <c r="F17" s="6"/>
      <c r="G17" s="8"/>
      <c r="H17" s="8"/>
      <c r="I17" s="8"/>
      <c r="J17" s="8"/>
    </row>
    <row r="18" spans="1:10" x14ac:dyDescent="0.25">
      <c r="A18" s="11"/>
      <c r="B18" s="11"/>
      <c r="C18" s="11"/>
      <c r="D18" s="11"/>
      <c r="E18" s="11"/>
      <c r="F18" s="23"/>
      <c r="G18" s="11"/>
      <c r="H18" s="11"/>
      <c r="I18" s="11"/>
      <c r="J18" s="11"/>
    </row>
    <row r="19" spans="1:10" x14ac:dyDescent="0.25">
      <c r="A19" s="8"/>
      <c r="B19" s="8"/>
      <c r="C19" s="8"/>
      <c r="D19" s="8"/>
      <c r="E19" s="8"/>
      <c r="F19" s="6"/>
      <c r="G19" s="8"/>
      <c r="H19" s="8"/>
      <c r="I19" s="8"/>
      <c r="J19" s="8"/>
    </row>
    <row r="20" spans="1:10" x14ac:dyDescent="0.25">
      <c r="A20" s="11"/>
      <c r="B20" s="11"/>
      <c r="C20" s="11"/>
      <c r="D20" s="11"/>
      <c r="E20" s="11"/>
      <c r="F20" s="23"/>
      <c r="G20" s="11"/>
      <c r="H20" s="11"/>
      <c r="I20" s="11"/>
      <c r="J20" s="11"/>
    </row>
    <row r="21" spans="1:10" x14ac:dyDescent="0.25">
      <c r="A21" s="8"/>
      <c r="B21" s="8"/>
      <c r="C21" s="8"/>
      <c r="D21" s="8"/>
      <c r="E21" s="8"/>
      <c r="F21" s="6"/>
      <c r="G21" s="8"/>
      <c r="H21" s="8"/>
      <c r="I21" s="8"/>
      <c r="J21" s="8"/>
    </row>
    <row r="22" spans="1:10" x14ac:dyDescent="0.25">
      <c r="A22" s="11"/>
      <c r="B22" s="11"/>
      <c r="C22" s="11"/>
      <c r="D22" s="11"/>
      <c r="E22" s="11"/>
      <c r="F22" s="23"/>
      <c r="G22" s="11"/>
      <c r="H22" s="11"/>
      <c r="I22" s="11"/>
      <c r="J22" s="11"/>
    </row>
    <row r="23" spans="1:10" x14ac:dyDescent="0.25">
      <c r="A23" s="8"/>
      <c r="B23" s="8"/>
      <c r="C23" s="8"/>
      <c r="D23" s="8"/>
      <c r="E23" s="8"/>
      <c r="F23" s="6"/>
      <c r="G23" s="8"/>
      <c r="H23" s="8"/>
      <c r="I23" s="8"/>
      <c r="J23" s="8"/>
    </row>
    <row r="24" spans="1:10" x14ac:dyDescent="0.25">
      <c r="A24" s="11"/>
      <c r="B24" s="11"/>
      <c r="C24" s="11"/>
      <c r="D24" s="11"/>
      <c r="E24" s="11"/>
      <c r="F24" s="23"/>
      <c r="G24" s="11"/>
      <c r="H24" s="11"/>
      <c r="I24" s="11"/>
      <c r="J24" s="11"/>
    </row>
    <row r="25" spans="1:10" x14ac:dyDescent="0.25">
      <c r="A25" s="8"/>
      <c r="B25" s="8"/>
      <c r="C25" s="8"/>
      <c r="D25" s="8"/>
      <c r="E25" s="8"/>
      <c r="F25" s="6"/>
      <c r="G25" s="8"/>
      <c r="H25" s="8"/>
      <c r="I25" s="8"/>
      <c r="J25" s="8"/>
    </row>
    <row r="26" spans="1:10" x14ac:dyDescent="0.25">
      <c r="A26" s="11"/>
      <c r="B26" s="11"/>
      <c r="C26" s="11"/>
      <c r="D26" s="11"/>
      <c r="E26" s="11"/>
      <c r="F26" s="23"/>
      <c r="G26" s="11"/>
      <c r="H26" s="11"/>
      <c r="I26" s="11"/>
      <c r="J26" s="11"/>
    </row>
    <row r="27" spans="1:10" x14ac:dyDescent="0.25">
      <c r="A27" s="8"/>
      <c r="B27" s="8"/>
      <c r="C27" s="8"/>
      <c r="D27" s="8"/>
      <c r="E27" s="8"/>
      <c r="F27" s="6"/>
      <c r="G27" s="8"/>
      <c r="H27" s="8"/>
      <c r="I27" s="8"/>
      <c r="J27" s="8"/>
    </row>
    <row r="28" spans="1:10" x14ac:dyDescent="0.25">
      <c r="A28" s="11"/>
      <c r="B28" s="11"/>
      <c r="C28" s="11"/>
      <c r="D28" s="11"/>
      <c r="E28" s="11"/>
      <c r="F28" s="23"/>
      <c r="G28" s="11"/>
      <c r="H28" s="11"/>
      <c r="I28" s="11"/>
      <c r="J28" s="11"/>
    </row>
    <row r="29" spans="1:10" x14ac:dyDescent="0.25">
      <c r="A29" s="8"/>
      <c r="B29" s="8"/>
      <c r="C29" s="8"/>
      <c r="D29" s="8"/>
      <c r="E29" s="8"/>
      <c r="F29" s="6"/>
      <c r="G29" s="8"/>
      <c r="H29" s="8"/>
      <c r="I29" s="8"/>
      <c r="J29" s="8"/>
    </row>
    <row r="30" spans="1:10" x14ac:dyDescent="0.25">
      <c r="A30" s="11"/>
      <c r="B30" s="11"/>
      <c r="C30" s="11"/>
      <c r="D30" s="11"/>
      <c r="E30" s="11"/>
      <c r="F30" s="23"/>
      <c r="G30" s="11"/>
      <c r="H30" s="11"/>
      <c r="I30" s="11"/>
      <c r="J30" s="11"/>
    </row>
    <row r="31" spans="1:10" x14ac:dyDescent="0.25">
      <c r="A31" s="8"/>
      <c r="B31" s="8"/>
      <c r="C31" s="8"/>
      <c r="D31" s="8"/>
      <c r="E31" s="8"/>
      <c r="F31" s="6"/>
      <c r="G31" s="8"/>
      <c r="H31" s="8"/>
      <c r="I31" s="8"/>
      <c r="J31" s="8"/>
    </row>
    <row r="32" spans="1:10" x14ac:dyDescent="0.25">
      <c r="A32" s="11"/>
      <c r="B32" s="11"/>
      <c r="C32" s="11"/>
      <c r="D32" s="11"/>
      <c r="E32" s="11"/>
      <c r="F32" s="23"/>
      <c r="G32" s="11"/>
      <c r="H32" s="11"/>
      <c r="I32" s="11"/>
      <c r="J32" s="11"/>
    </row>
    <row r="33" spans="1:10" x14ac:dyDescent="0.25">
      <c r="A33" s="8"/>
      <c r="B33" s="8"/>
      <c r="C33" s="8"/>
      <c r="D33" s="8"/>
      <c r="E33" s="8"/>
      <c r="F33" s="6"/>
      <c r="G33" s="8"/>
      <c r="H33" s="8"/>
      <c r="I33" s="8"/>
      <c r="J33" s="8"/>
    </row>
    <row r="34" spans="1:10" x14ac:dyDescent="0.25">
      <c r="A34" s="11"/>
      <c r="B34" s="11"/>
      <c r="C34" s="11"/>
      <c r="D34" s="11"/>
      <c r="E34" s="11"/>
      <c r="F34" s="23"/>
      <c r="G34" s="11"/>
      <c r="H34" s="11"/>
      <c r="I34" s="11"/>
      <c r="J34" s="11"/>
    </row>
    <row r="35" spans="1:10" x14ac:dyDescent="0.25">
      <c r="A35" s="8"/>
      <c r="B35" s="8"/>
      <c r="C35" s="8"/>
      <c r="D35" s="8"/>
      <c r="E35" s="8"/>
      <c r="F35" s="6"/>
      <c r="G35" s="8"/>
      <c r="H35" s="8"/>
      <c r="I35" s="8"/>
      <c r="J35" s="8"/>
    </row>
    <row r="36" spans="1:10" x14ac:dyDescent="0.25">
      <c r="A36" s="11"/>
      <c r="B36" s="11"/>
      <c r="C36" s="11"/>
      <c r="D36" s="11"/>
      <c r="E36" s="11"/>
      <c r="F36" s="23"/>
      <c r="G36" s="11"/>
      <c r="H36" s="11"/>
      <c r="I36" s="11"/>
      <c r="J36" s="11"/>
    </row>
    <row r="37" spans="1:10" x14ac:dyDescent="0.25">
      <c r="A37" s="8"/>
      <c r="B37" s="8"/>
      <c r="C37" s="8"/>
      <c r="D37" s="8"/>
      <c r="E37" s="8"/>
      <c r="F37" s="6"/>
      <c r="G37" s="8"/>
      <c r="H37" s="8"/>
      <c r="I37" s="8"/>
      <c r="J37" s="8"/>
    </row>
    <row r="38" spans="1:10" x14ac:dyDescent="0.25">
      <c r="A38" s="11"/>
      <c r="B38" s="11"/>
      <c r="C38" s="11"/>
      <c r="D38" s="11"/>
      <c r="E38" s="11"/>
      <c r="F38" s="23"/>
      <c r="G38" s="11"/>
      <c r="H38" s="11"/>
      <c r="I38" s="11"/>
      <c r="J38" s="11"/>
    </row>
    <row r="39" spans="1:10" x14ac:dyDescent="0.25">
      <c r="A39" s="8"/>
      <c r="B39" s="8"/>
      <c r="C39" s="8"/>
      <c r="D39" s="8"/>
      <c r="E39" s="8"/>
      <c r="F39" s="6"/>
      <c r="G39" s="8"/>
      <c r="H39" s="8"/>
      <c r="I39" s="8"/>
      <c r="J39" s="8"/>
    </row>
    <row r="40" spans="1:10" x14ac:dyDescent="0.25">
      <c r="A40" s="11"/>
      <c r="B40" s="11"/>
      <c r="C40" s="11"/>
      <c r="D40" s="11"/>
      <c r="E40" s="11"/>
      <c r="F40" s="23"/>
      <c r="G40" s="11"/>
      <c r="H40" s="11"/>
      <c r="I40" s="11"/>
      <c r="J40" s="11"/>
    </row>
    <row r="41" spans="1:10" x14ac:dyDescent="0.25">
      <c r="A41" s="8"/>
      <c r="B41" s="8"/>
      <c r="C41" s="8"/>
      <c r="D41" s="8"/>
      <c r="E41" s="8"/>
      <c r="F41" s="6"/>
      <c r="G41" s="8"/>
      <c r="H41" s="8"/>
      <c r="I41" s="8"/>
      <c r="J41" s="8"/>
    </row>
    <row r="42" spans="1:10" x14ac:dyDescent="0.25">
      <c r="A42" s="11"/>
      <c r="B42" s="11"/>
      <c r="C42" s="11"/>
      <c r="D42" s="11"/>
      <c r="E42" s="11"/>
      <c r="F42" s="23"/>
      <c r="G42" s="11"/>
      <c r="H42" s="11"/>
      <c r="I42" s="11"/>
      <c r="J42" s="11"/>
    </row>
    <row r="43" spans="1:10" x14ac:dyDescent="0.25">
      <c r="A43" s="8"/>
      <c r="B43" s="8"/>
      <c r="C43" s="8"/>
      <c r="D43" s="8"/>
      <c r="E43" s="8"/>
      <c r="F43" s="6"/>
      <c r="G43" s="8"/>
      <c r="H43" s="8"/>
      <c r="I43" s="8"/>
      <c r="J43" s="8"/>
    </row>
    <row r="44" spans="1:10" x14ac:dyDescent="0.25">
      <c r="A44" s="11"/>
      <c r="B44" s="11"/>
      <c r="C44" s="11"/>
      <c r="D44" s="11"/>
      <c r="E44" s="11"/>
      <c r="F44" s="23"/>
      <c r="G44" s="11"/>
      <c r="H44" s="11"/>
      <c r="I44" s="11"/>
      <c r="J44" s="11"/>
    </row>
    <row r="45" spans="1:10" x14ac:dyDescent="0.25">
      <c r="A45" s="8"/>
      <c r="B45" s="8"/>
      <c r="C45" s="8"/>
      <c r="D45" s="8"/>
      <c r="E45" s="8"/>
      <c r="F45" s="6"/>
      <c r="G45" s="8"/>
      <c r="H45" s="8"/>
      <c r="I45" s="8"/>
      <c r="J45" s="8"/>
    </row>
    <row r="46" spans="1:10" x14ac:dyDescent="0.25">
      <c r="A46" s="11"/>
      <c r="B46" s="11"/>
      <c r="C46" s="11"/>
      <c r="D46" s="11"/>
      <c r="E46" s="11"/>
      <c r="F46" s="23"/>
      <c r="G46" s="11"/>
      <c r="H46" s="11"/>
      <c r="I46" s="11"/>
      <c r="J46" s="11"/>
    </row>
    <row r="47" spans="1:10" x14ac:dyDescent="0.25">
      <c r="A47" s="8"/>
      <c r="B47" s="8"/>
      <c r="C47" s="8"/>
      <c r="D47" s="8"/>
      <c r="E47" s="8"/>
      <c r="F47" s="6"/>
      <c r="G47" s="8"/>
      <c r="H47" s="8"/>
      <c r="I47" s="8"/>
      <c r="J47" s="8"/>
    </row>
    <row r="48" spans="1:10" x14ac:dyDescent="0.25">
      <c r="A48" s="11"/>
      <c r="B48" s="11"/>
      <c r="C48" s="11"/>
      <c r="D48" s="11"/>
      <c r="E48" s="11"/>
      <c r="F48" s="23"/>
      <c r="G48" s="11"/>
      <c r="H48" s="11"/>
      <c r="I48" s="11"/>
      <c r="J48" s="11"/>
    </row>
    <row r="49" spans="1:10" x14ac:dyDescent="0.25">
      <c r="A49" s="8"/>
      <c r="B49" s="8"/>
      <c r="C49" s="8"/>
      <c r="D49" s="8"/>
      <c r="E49" s="8"/>
      <c r="F49" s="6"/>
      <c r="G49" s="8"/>
      <c r="H49" s="8"/>
      <c r="I49" s="8"/>
      <c r="J49" s="8"/>
    </row>
    <row r="50" spans="1:10" x14ac:dyDescent="0.25">
      <c r="A50" s="11"/>
      <c r="B50" s="11"/>
      <c r="C50" s="11"/>
      <c r="D50" s="11"/>
      <c r="E50" s="11"/>
      <c r="F50" s="23"/>
      <c r="G50" s="11"/>
      <c r="H50" s="11"/>
      <c r="I50" s="11"/>
      <c r="J50" s="11"/>
    </row>
    <row r="51" spans="1:10" x14ac:dyDescent="0.25">
      <c r="A51" s="8"/>
      <c r="B51" s="8"/>
      <c r="C51" s="8"/>
      <c r="D51" s="8"/>
      <c r="E51" s="8"/>
      <c r="F51" s="6"/>
      <c r="G51" s="8"/>
      <c r="H51" s="8"/>
      <c r="I51" s="8"/>
      <c r="J51" s="8"/>
    </row>
    <row r="52" spans="1:10" x14ac:dyDescent="0.25">
      <c r="A52" s="11"/>
      <c r="B52" s="11"/>
      <c r="C52" s="11"/>
      <c r="D52" s="11"/>
      <c r="E52" s="11"/>
      <c r="F52" s="23"/>
      <c r="G52" s="11"/>
      <c r="H52" s="11"/>
      <c r="I52" s="11"/>
      <c r="J52" s="11"/>
    </row>
    <row r="53" spans="1:10" x14ac:dyDescent="0.25">
      <c r="A53" s="8"/>
      <c r="B53" s="8"/>
      <c r="C53" s="8"/>
      <c r="D53" s="8"/>
      <c r="E53" s="8"/>
      <c r="F53" s="6"/>
      <c r="G53" s="8"/>
      <c r="H53" s="8"/>
      <c r="I53" s="8"/>
      <c r="J53" s="8"/>
    </row>
    <row r="54" spans="1:10" x14ac:dyDescent="0.25">
      <c r="A54" s="11"/>
      <c r="B54" s="11"/>
      <c r="C54" s="11"/>
      <c r="D54" s="11"/>
      <c r="E54" s="11"/>
      <c r="F54" s="23"/>
      <c r="G54" s="11"/>
      <c r="H54" s="11"/>
      <c r="I54" s="11"/>
      <c r="J54" s="11"/>
    </row>
    <row r="55" spans="1:10" x14ac:dyDescent="0.25">
      <c r="A55" s="8"/>
      <c r="B55" s="8"/>
      <c r="C55" s="8"/>
      <c r="D55" s="8"/>
      <c r="E55" s="8"/>
      <c r="F55" s="6"/>
      <c r="G55" s="8"/>
      <c r="H55" s="8"/>
      <c r="I55" s="8"/>
      <c r="J55" s="8"/>
    </row>
    <row r="56" spans="1:10" x14ac:dyDescent="0.25">
      <c r="A56" s="11"/>
      <c r="B56" s="11"/>
      <c r="C56" s="11"/>
      <c r="D56" s="11"/>
      <c r="E56" s="11"/>
      <c r="F56" s="23"/>
      <c r="G56" s="11"/>
      <c r="H56" s="11"/>
      <c r="I56" s="11"/>
      <c r="J56" s="11"/>
    </row>
    <row r="57" spans="1:10" x14ac:dyDescent="0.25">
      <c r="A57" s="8"/>
      <c r="B57" s="8"/>
      <c r="C57" s="8"/>
      <c r="D57" s="8"/>
      <c r="E57" s="8"/>
      <c r="F57" s="6"/>
      <c r="G57" s="8"/>
      <c r="H57" s="8"/>
      <c r="I57" s="8"/>
      <c r="J57" s="8"/>
    </row>
    <row r="58" spans="1:10" x14ac:dyDescent="0.25">
      <c r="A58" s="11"/>
      <c r="B58" s="11"/>
      <c r="C58" s="11"/>
      <c r="D58" s="11"/>
      <c r="E58" s="11"/>
      <c r="F58" s="23"/>
      <c r="G58" s="11"/>
      <c r="H58" s="11"/>
      <c r="I58" s="11"/>
      <c r="J58" s="11"/>
    </row>
    <row r="59" spans="1:10" x14ac:dyDescent="0.25">
      <c r="A59" s="8"/>
      <c r="B59" s="8"/>
      <c r="C59" s="8"/>
      <c r="D59" s="8"/>
      <c r="E59" s="8"/>
      <c r="F59" s="6"/>
      <c r="G59" s="8"/>
      <c r="H59" s="8"/>
      <c r="I59" s="8"/>
      <c r="J59" s="8"/>
    </row>
    <row r="60" spans="1:10" x14ac:dyDescent="0.25">
      <c r="A60" s="11"/>
      <c r="B60" s="11"/>
      <c r="C60" s="11"/>
      <c r="D60" s="11"/>
      <c r="E60" s="11"/>
      <c r="F60" s="23"/>
      <c r="G60" s="11"/>
      <c r="H60" s="11"/>
      <c r="I60" s="11"/>
      <c r="J60" s="11"/>
    </row>
  </sheetData>
  <mergeCells count="2">
    <mergeCell ref="A2:F2"/>
    <mergeCell ref="A1:F1"/>
  </mergeCells>
  <dataValidations count="3">
    <dataValidation type="list" allowBlank="1" sqref="A6:A60" xr:uid="{00000000-0002-0000-0600-000000000000}">
      <formula1>"Location,Catering,Zeremonie,Foto &amp; Video,Dekoration,Musik,Kleidung,Ringe,Papeterie,Fahrzeug,Übernachtung,Sonstiges"</formula1>
    </dataValidation>
    <dataValidation type="list" allowBlank="1" sqref="G6:G60" xr:uid="{00000000-0002-0000-0600-000001000000}">
      <formula1>"Recherche,Angefragt,Angebot liegt vor,Gebucht,Abgesagt"</formula1>
    </dataValidation>
    <dataValidation type="list" allowBlank="1" sqref="H6:H60" xr:uid="{00000000-0002-0000-0600-000002000000}">
      <formula1>"Ja,Nein"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7C9885"/>
  </sheetPr>
  <dimension ref="A1:G162"/>
  <sheetViews>
    <sheetView showGridLines="0" workbookViewId="0">
      <pane ySplit="5" topLeftCell="A6" activePane="bottomLeft" state="frozen"/>
      <selection pane="bottomLeft" sqref="A1:F1"/>
    </sheetView>
  </sheetViews>
  <sheetFormatPr baseColWidth="10" defaultColWidth="9.140625" defaultRowHeight="15" x14ac:dyDescent="0.25"/>
  <cols>
    <col min="1" max="1" width="22.42578125" customWidth="1"/>
    <col min="2" max="2" width="10" customWidth="1"/>
    <col min="3" max="3" width="18" customWidth="1"/>
    <col min="4" max="4" width="20" customWidth="1"/>
    <col min="5" max="5" width="16" customWidth="1"/>
    <col min="6" max="6" width="20" customWidth="1"/>
    <col min="7" max="7" width="30" customWidth="1"/>
  </cols>
  <sheetData>
    <row r="1" spans="1:7" ht="33.950000000000003" customHeight="1" x14ac:dyDescent="0.25">
      <c r="A1" s="32" t="s">
        <v>242</v>
      </c>
      <c r="B1" s="33"/>
      <c r="C1" s="33"/>
      <c r="D1" s="33"/>
      <c r="E1" s="33"/>
      <c r="F1" s="33"/>
    </row>
    <row r="2" spans="1:7" ht="15.95" customHeight="1" x14ac:dyDescent="0.25">
      <c r="A2" s="25" t="s">
        <v>243</v>
      </c>
      <c r="B2" s="26"/>
      <c r="C2" s="26"/>
      <c r="D2" s="26"/>
      <c r="E2" s="26"/>
      <c r="F2" s="26"/>
    </row>
    <row r="5" spans="1:7" ht="30" customHeight="1" x14ac:dyDescent="0.25">
      <c r="A5" s="16" t="s">
        <v>244</v>
      </c>
      <c r="B5" s="16" t="s">
        <v>245</v>
      </c>
      <c r="C5" s="16" t="s">
        <v>106</v>
      </c>
      <c r="D5" s="16" t="s">
        <v>107</v>
      </c>
      <c r="E5" s="16" t="s">
        <v>246</v>
      </c>
      <c r="F5" s="16" t="s">
        <v>112</v>
      </c>
      <c r="G5" s="16" t="s">
        <v>68</v>
      </c>
    </row>
    <row r="6" spans="1:7" x14ac:dyDescent="0.25">
      <c r="A6" s="11" t="s">
        <v>247</v>
      </c>
      <c r="B6" s="11">
        <v>1</v>
      </c>
      <c r="C6" s="11" t="s">
        <v>116</v>
      </c>
      <c r="D6" s="11" t="s">
        <v>117</v>
      </c>
      <c r="E6" s="11" t="str">
        <f>IF(C6="","",IFERROR(INDEX(GÄSTELISTE!N$6:N$305,MATCH(C6&amp;" "&amp;D6,GÄSTELISTE!Q$6:Q$305,0)),"nicht gefunden"))</f>
        <v>Zusage</v>
      </c>
      <c r="F6" s="11" t="str">
        <f>IF(C6="","",IFERROR(INDEX(GÄSTELISTE!H$6:H$305,MATCH(C6&amp;" "&amp;D6,GÄSTELISTE!Q$6:Q$305,0)),""))</f>
        <v>Vegetarisch</v>
      </c>
      <c r="G6" s="11"/>
    </row>
    <row r="7" spans="1:7" x14ac:dyDescent="0.25">
      <c r="A7" s="8" t="s">
        <v>247</v>
      </c>
      <c r="B7" s="8">
        <v>2</v>
      </c>
      <c r="C7" s="8" t="s">
        <v>127</v>
      </c>
      <c r="D7" s="8" t="s">
        <v>128</v>
      </c>
      <c r="E7" s="8" t="str">
        <f>IF(C7="","",IFERROR(INDEX(GÄSTELISTE!N$6:N$305,MATCH(C7&amp;" "&amp;D7,GÄSTELISTE!Q$6:Q$305,0)),"nicht gefunden"))</f>
        <v>Zusage</v>
      </c>
      <c r="F7" s="8" t="str">
        <f>IF(C7="","",IFERROR(INDEX(GÄSTELISTE!H$6:H$305,MATCH(C7&amp;" "&amp;D7,GÄSTELISTE!Q$6:Q$305,0)),""))</f>
        <v>Fleisch</v>
      </c>
      <c r="G7" s="8"/>
    </row>
    <row r="8" spans="1:7" x14ac:dyDescent="0.25">
      <c r="A8" s="11"/>
      <c r="B8" s="11"/>
      <c r="C8" s="11"/>
      <c r="D8" s="11"/>
      <c r="E8" s="11" t="str">
        <f>IF(C8="","",IFERROR(INDEX(GÄSTELISTE!N$6:N$305,MATCH(C8&amp;" "&amp;D8,GÄSTELISTE!Q$6:Q$305,0)),"nicht gefunden"))</f>
        <v/>
      </c>
      <c r="F8" s="11" t="str">
        <f>IF(C8="","",IFERROR(INDEX(GÄSTELISTE!H$6:H$305,MATCH(C8&amp;" "&amp;D8,GÄSTELISTE!Q$6:Q$305,0)),""))</f>
        <v/>
      </c>
      <c r="G8" s="11"/>
    </row>
    <row r="9" spans="1:7" x14ac:dyDescent="0.25">
      <c r="A9" s="8"/>
      <c r="B9" s="8"/>
      <c r="C9" s="8"/>
      <c r="D9" s="8"/>
      <c r="E9" s="8" t="str">
        <f>IF(C9="","",IFERROR(INDEX(GÄSTELISTE!N$6:N$305,MATCH(C9&amp;" "&amp;D9,GÄSTELISTE!Q$6:Q$305,0)),"nicht gefunden"))</f>
        <v/>
      </c>
      <c r="F9" s="8" t="str">
        <f>IF(C9="","",IFERROR(INDEX(GÄSTELISTE!H$6:H$305,MATCH(C9&amp;" "&amp;D9,GÄSTELISTE!Q$6:Q$305,0)),""))</f>
        <v/>
      </c>
      <c r="G9" s="8"/>
    </row>
    <row r="10" spans="1:7" x14ac:dyDescent="0.25">
      <c r="A10" s="11"/>
      <c r="B10" s="11"/>
      <c r="C10" s="11"/>
      <c r="D10" s="11"/>
      <c r="E10" s="11" t="str">
        <f>IF(C10="","",IFERROR(INDEX(GÄSTELISTE!N$6:N$305,MATCH(C10&amp;" "&amp;D10,GÄSTELISTE!Q$6:Q$305,0)),"nicht gefunden"))</f>
        <v/>
      </c>
      <c r="F10" s="11" t="str">
        <f>IF(C10="","",IFERROR(INDEX(GÄSTELISTE!H$6:H$305,MATCH(C10&amp;" "&amp;D10,GÄSTELISTE!Q$6:Q$305,0)),""))</f>
        <v/>
      </c>
      <c r="G10" s="11"/>
    </row>
    <row r="11" spans="1:7" x14ac:dyDescent="0.25">
      <c r="A11" s="8"/>
      <c r="B11" s="8"/>
      <c r="C11" s="8"/>
      <c r="D11" s="8"/>
      <c r="E11" s="8" t="str">
        <f>IF(C11="","",IFERROR(INDEX(GÄSTELISTE!N$6:N$305,MATCH(C11&amp;" "&amp;D11,GÄSTELISTE!Q$6:Q$305,0)),"nicht gefunden"))</f>
        <v/>
      </c>
      <c r="F11" s="8" t="str">
        <f>IF(C11="","",IFERROR(INDEX(GÄSTELISTE!H$6:H$305,MATCH(C11&amp;" "&amp;D11,GÄSTELISTE!Q$6:Q$305,0)),""))</f>
        <v/>
      </c>
      <c r="G11" s="8"/>
    </row>
    <row r="12" spans="1:7" x14ac:dyDescent="0.25">
      <c r="A12" s="11"/>
      <c r="B12" s="11"/>
      <c r="C12" s="11"/>
      <c r="D12" s="11"/>
      <c r="E12" s="11" t="str">
        <f>IF(C12="","",IFERROR(INDEX(GÄSTELISTE!N$6:N$305,MATCH(C12&amp;" "&amp;D12,GÄSTELISTE!Q$6:Q$305,0)),"nicht gefunden"))</f>
        <v/>
      </c>
      <c r="F12" s="11" t="str">
        <f>IF(C12="","",IFERROR(INDEX(GÄSTELISTE!H$6:H$305,MATCH(C12&amp;" "&amp;D12,GÄSTELISTE!Q$6:Q$305,0)),""))</f>
        <v/>
      </c>
      <c r="G12" s="11"/>
    </row>
    <row r="13" spans="1:7" x14ac:dyDescent="0.25">
      <c r="A13" s="8"/>
      <c r="B13" s="8"/>
      <c r="C13" s="8"/>
      <c r="D13" s="8"/>
      <c r="E13" s="8" t="str">
        <f>IF(C13="","",IFERROR(INDEX(GÄSTELISTE!N$6:N$305,MATCH(C13&amp;" "&amp;D13,GÄSTELISTE!Q$6:Q$305,0)),"nicht gefunden"))</f>
        <v/>
      </c>
      <c r="F13" s="8" t="str">
        <f>IF(C13="","",IFERROR(INDEX(GÄSTELISTE!H$6:H$305,MATCH(C13&amp;" "&amp;D13,GÄSTELISTE!Q$6:Q$305,0)),""))</f>
        <v/>
      </c>
      <c r="G13" s="8"/>
    </row>
    <row r="14" spans="1:7" x14ac:dyDescent="0.25">
      <c r="A14" s="11"/>
      <c r="B14" s="11"/>
      <c r="C14" s="11"/>
      <c r="D14" s="11"/>
      <c r="E14" s="11" t="str">
        <f>IF(C14="","",IFERROR(INDEX(GÄSTELISTE!N$6:N$305,MATCH(C14&amp;" "&amp;D14,GÄSTELISTE!Q$6:Q$305,0)),"nicht gefunden"))</f>
        <v/>
      </c>
      <c r="F14" s="11" t="str">
        <f>IF(C14="","",IFERROR(INDEX(GÄSTELISTE!H$6:H$305,MATCH(C14&amp;" "&amp;D14,GÄSTELISTE!Q$6:Q$305,0)),""))</f>
        <v/>
      </c>
      <c r="G14" s="11"/>
    </row>
    <row r="15" spans="1:7" x14ac:dyDescent="0.25">
      <c r="A15" s="8"/>
      <c r="B15" s="8"/>
      <c r="C15" s="8"/>
      <c r="D15" s="8"/>
      <c r="E15" s="8" t="str">
        <f>IF(C15="","",IFERROR(INDEX(GÄSTELISTE!N$6:N$305,MATCH(C15&amp;" "&amp;D15,GÄSTELISTE!Q$6:Q$305,0)),"nicht gefunden"))</f>
        <v/>
      </c>
      <c r="F15" s="8" t="str">
        <f>IF(C15="","",IFERROR(INDEX(GÄSTELISTE!H$6:H$305,MATCH(C15&amp;" "&amp;D15,GÄSTELISTE!Q$6:Q$305,0)),""))</f>
        <v/>
      </c>
      <c r="G15" s="8"/>
    </row>
    <row r="16" spans="1:7" x14ac:dyDescent="0.25">
      <c r="A16" s="11"/>
      <c r="B16" s="11"/>
      <c r="C16" s="11"/>
      <c r="D16" s="11"/>
      <c r="E16" s="11" t="str">
        <f>IF(C16="","",IFERROR(INDEX(GÄSTELISTE!N$6:N$305,MATCH(C16&amp;" "&amp;D16,GÄSTELISTE!Q$6:Q$305,0)),"nicht gefunden"))</f>
        <v/>
      </c>
      <c r="F16" s="11" t="str">
        <f>IF(C16="","",IFERROR(INDEX(GÄSTELISTE!H$6:H$305,MATCH(C16&amp;" "&amp;D16,GÄSTELISTE!Q$6:Q$305,0)),""))</f>
        <v/>
      </c>
      <c r="G16" s="11"/>
    </row>
    <row r="17" spans="1:7" x14ac:dyDescent="0.25">
      <c r="A17" s="8"/>
      <c r="B17" s="8"/>
      <c r="C17" s="8"/>
      <c r="D17" s="8"/>
      <c r="E17" s="8" t="str">
        <f>IF(C17="","",IFERROR(INDEX(GÄSTELISTE!N$6:N$305,MATCH(C17&amp;" "&amp;D17,GÄSTELISTE!Q$6:Q$305,0)),"nicht gefunden"))</f>
        <v/>
      </c>
      <c r="F17" s="8" t="str">
        <f>IF(C17="","",IFERROR(INDEX(GÄSTELISTE!H$6:H$305,MATCH(C17&amp;" "&amp;D17,GÄSTELISTE!Q$6:Q$305,0)),""))</f>
        <v/>
      </c>
      <c r="G17" s="8"/>
    </row>
    <row r="18" spans="1:7" x14ac:dyDescent="0.25">
      <c r="A18" s="11"/>
      <c r="B18" s="11"/>
      <c r="C18" s="11"/>
      <c r="D18" s="11"/>
      <c r="E18" s="11" t="str">
        <f>IF(C18="","",IFERROR(INDEX(GÄSTELISTE!N$6:N$305,MATCH(C18&amp;" "&amp;D18,GÄSTELISTE!Q$6:Q$305,0)),"nicht gefunden"))</f>
        <v/>
      </c>
      <c r="F18" s="11" t="str">
        <f>IF(C18="","",IFERROR(INDEX(GÄSTELISTE!H$6:H$305,MATCH(C18&amp;" "&amp;D18,GÄSTELISTE!Q$6:Q$305,0)),""))</f>
        <v/>
      </c>
      <c r="G18" s="11"/>
    </row>
    <row r="19" spans="1:7" x14ac:dyDescent="0.25">
      <c r="A19" s="8"/>
      <c r="B19" s="8"/>
      <c r="C19" s="8"/>
      <c r="D19" s="8"/>
      <c r="E19" s="8" t="str">
        <f>IF(C19="","",IFERROR(INDEX(GÄSTELISTE!N$6:N$305,MATCH(C19&amp;" "&amp;D19,GÄSTELISTE!Q$6:Q$305,0)),"nicht gefunden"))</f>
        <v/>
      </c>
      <c r="F19" s="8" t="str">
        <f>IF(C19="","",IFERROR(INDEX(GÄSTELISTE!H$6:H$305,MATCH(C19&amp;" "&amp;D19,GÄSTELISTE!Q$6:Q$305,0)),""))</f>
        <v/>
      </c>
      <c r="G19" s="8"/>
    </row>
    <row r="20" spans="1:7" x14ac:dyDescent="0.25">
      <c r="A20" s="11"/>
      <c r="B20" s="11"/>
      <c r="C20" s="11"/>
      <c r="D20" s="11"/>
      <c r="E20" s="11" t="str">
        <f>IF(C20="","",IFERROR(INDEX(GÄSTELISTE!N$6:N$305,MATCH(C20&amp;" "&amp;D20,GÄSTELISTE!Q$6:Q$305,0)),"nicht gefunden"))</f>
        <v/>
      </c>
      <c r="F20" s="11" t="str">
        <f>IF(C20="","",IFERROR(INDEX(GÄSTELISTE!H$6:H$305,MATCH(C20&amp;" "&amp;D20,GÄSTELISTE!Q$6:Q$305,0)),""))</f>
        <v/>
      </c>
      <c r="G20" s="11"/>
    </row>
    <row r="21" spans="1:7" x14ac:dyDescent="0.25">
      <c r="A21" s="8"/>
      <c r="B21" s="8"/>
      <c r="C21" s="8"/>
      <c r="D21" s="8"/>
      <c r="E21" s="8" t="str">
        <f>IF(C21="","",IFERROR(INDEX(GÄSTELISTE!N$6:N$305,MATCH(C21&amp;" "&amp;D21,GÄSTELISTE!Q$6:Q$305,0)),"nicht gefunden"))</f>
        <v/>
      </c>
      <c r="F21" s="8" t="str">
        <f>IF(C21="","",IFERROR(INDEX(GÄSTELISTE!H$6:H$305,MATCH(C21&amp;" "&amp;D21,GÄSTELISTE!Q$6:Q$305,0)),""))</f>
        <v/>
      </c>
      <c r="G21" s="8"/>
    </row>
    <row r="22" spans="1:7" x14ac:dyDescent="0.25">
      <c r="A22" s="11"/>
      <c r="B22" s="11"/>
      <c r="C22" s="11"/>
      <c r="D22" s="11"/>
      <c r="E22" s="11" t="str">
        <f>IF(C22="","",IFERROR(INDEX(GÄSTELISTE!N$6:N$305,MATCH(C22&amp;" "&amp;D22,GÄSTELISTE!Q$6:Q$305,0)),"nicht gefunden"))</f>
        <v/>
      </c>
      <c r="F22" s="11" t="str">
        <f>IF(C22="","",IFERROR(INDEX(GÄSTELISTE!H$6:H$305,MATCH(C22&amp;" "&amp;D22,GÄSTELISTE!Q$6:Q$305,0)),""))</f>
        <v/>
      </c>
      <c r="G22" s="11"/>
    </row>
    <row r="23" spans="1:7" x14ac:dyDescent="0.25">
      <c r="A23" s="8"/>
      <c r="B23" s="8"/>
      <c r="C23" s="8"/>
      <c r="D23" s="8"/>
      <c r="E23" s="8" t="str">
        <f>IF(C23="","",IFERROR(INDEX(GÄSTELISTE!N$6:N$305,MATCH(C23&amp;" "&amp;D23,GÄSTELISTE!Q$6:Q$305,0)),"nicht gefunden"))</f>
        <v/>
      </c>
      <c r="F23" s="8" t="str">
        <f>IF(C23="","",IFERROR(INDEX(GÄSTELISTE!H$6:H$305,MATCH(C23&amp;" "&amp;D23,GÄSTELISTE!Q$6:Q$305,0)),""))</f>
        <v/>
      </c>
      <c r="G23" s="8"/>
    </row>
    <row r="24" spans="1:7" x14ac:dyDescent="0.25">
      <c r="A24" s="11"/>
      <c r="B24" s="11"/>
      <c r="C24" s="11"/>
      <c r="D24" s="11"/>
      <c r="E24" s="11" t="str">
        <f>IF(C24="","",IFERROR(INDEX(GÄSTELISTE!N$6:N$305,MATCH(C24&amp;" "&amp;D24,GÄSTELISTE!Q$6:Q$305,0)),"nicht gefunden"))</f>
        <v/>
      </c>
      <c r="F24" s="11" t="str">
        <f>IF(C24="","",IFERROR(INDEX(GÄSTELISTE!H$6:H$305,MATCH(C24&amp;" "&amp;D24,GÄSTELISTE!Q$6:Q$305,0)),""))</f>
        <v/>
      </c>
      <c r="G24" s="11"/>
    </row>
    <row r="25" spans="1:7" x14ac:dyDescent="0.25">
      <c r="A25" s="8"/>
      <c r="B25" s="8"/>
      <c r="C25" s="8"/>
      <c r="D25" s="8"/>
      <c r="E25" s="8" t="str">
        <f>IF(C25="","",IFERROR(INDEX(GÄSTELISTE!N$6:N$305,MATCH(C25&amp;" "&amp;D25,GÄSTELISTE!Q$6:Q$305,0)),"nicht gefunden"))</f>
        <v/>
      </c>
      <c r="F25" s="8" t="str">
        <f>IF(C25="","",IFERROR(INDEX(GÄSTELISTE!H$6:H$305,MATCH(C25&amp;" "&amp;D25,GÄSTELISTE!Q$6:Q$305,0)),""))</f>
        <v/>
      </c>
      <c r="G25" s="8"/>
    </row>
    <row r="26" spans="1:7" x14ac:dyDescent="0.25">
      <c r="A26" s="11"/>
      <c r="B26" s="11"/>
      <c r="C26" s="11"/>
      <c r="D26" s="11"/>
      <c r="E26" s="11" t="str">
        <f>IF(C26="","",IFERROR(INDEX(GÄSTELISTE!N$6:N$305,MATCH(C26&amp;" "&amp;D26,GÄSTELISTE!Q$6:Q$305,0)),"nicht gefunden"))</f>
        <v/>
      </c>
      <c r="F26" s="11" t="str">
        <f>IF(C26="","",IFERROR(INDEX(GÄSTELISTE!H$6:H$305,MATCH(C26&amp;" "&amp;D26,GÄSTELISTE!Q$6:Q$305,0)),""))</f>
        <v/>
      </c>
      <c r="G26" s="11"/>
    </row>
    <row r="27" spans="1:7" x14ac:dyDescent="0.25">
      <c r="A27" s="8"/>
      <c r="B27" s="8"/>
      <c r="C27" s="8"/>
      <c r="D27" s="8"/>
      <c r="E27" s="8" t="str">
        <f>IF(C27="","",IFERROR(INDEX(GÄSTELISTE!N$6:N$305,MATCH(C27&amp;" "&amp;D27,GÄSTELISTE!Q$6:Q$305,0)),"nicht gefunden"))</f>
        <v/>
      </c>
      <c r="F27" s="8" t="str">
        <f>IF(C27="","",IFERROR(INDEX(GÄSTELISTE!H$6:H$305,MATCH(C27&amp;" "&amp;D27,GÄSTELISTE!Q$6:Q$305,0)),""))</f>
        <v/>
      </c>
      <c r="G27" s="8"/>
    </row>
    <row r="28" spans="1:7" x14ac:dyDescent="0.25">
      <c r="A28" s="11"/>
      <c r="B28" s="11"/>
      <c r="C28" s="11"/>
      <c r="D28" s="11"/>
      <c r="E28" s="11" t="str">
        <f>IF(C28="","",IFERROR(INDEX(GÄSTELISTE!N$6:N$305,MATCH(C28&amp;" "&amp;D28,GÄSTELISTE!Q$6:Q$305,0)),"nicht gefunden"))</f>
        <v/>
      </c>
      <c r="F28" s="11" t="str">
        <f>IF(C28="","",IFERROR(INDEX(GÄSTELISTE!H$6:H$305,MATCH(C28&amp;" "&amp;D28,GÄSTELISTE!Q$6:Q$305,0)),""))</f>
        <v/>
      </c>
      <c r="G28" s="11"/>
    </row>
    <row r="29" spans="1:7" x14ac:dyDescent="0.25">
      <c r="A29" s="8"/>
      <c r="B29" s="8"/>
      <c r="C29" s="8"/>
      <c r="D29" s="8"/>
      <c r="E29" s="8" t="str">
        <f>IF(C29="","",IFERROR(INDEX(GÄSTELISTE!N$6:N$305,MATCH(C29&amp;" "&amp;D29,GÄSTELISTE!Q$6:Q$305,0)),"nicht gefunden"))</f>
        <v/>
      </c>
      <c r="F29" s="8" t="str">
        <f>IF(C29="","",IFERROR(INDEX(GÄSTELISTE!H$6:H$305,MATCH(C29&amp;" "&amp;D29,GÄSTELISTE!Q$6:Q$305,0)),""))</f>
        <v/>
      </c>
      <c r="G29" s="8"/>
    </row>
    <row r="30" spans="1:7" x14ac:dyDescent="0.25">
      <c r="A30" s="11"/>
      <c r="B30" s="11"/>
      <c r="C30" s="11"/>
      <c r="D30" s="11"/>
      <c r="E30" s="11" t="str">
        <f>IF(C30="","",IFERROR(INDEX(GÄSTELISTE!N$6:N$305,MATCH(C30&amp;" "&amp;D30,GÄSTELISTE!Q$6:Q$305,0)),"nicht gefunden"))</f>
        <v/>
      </c>
      <c r="F30" s="11" t="str">
        <f>IF(C30="","",IFERROR(INDEX(GÄSTELISTE!H$6:H$305,MATCH(C30&amp;" "&amp;D30,GÄSTELISTE!Q$6:Q$305,0)),""))</f>
        <v/>
      </c>
      <c r="G30" s="11"/>
    </row>
    <row r="31" spans="1:7" x14ac:dyDescent="0.25">
      <c r="A31" s="8"/>
      <c r="B31" s="8"/>
      <c r="C31" s="8"/>
      <c r="D31" s="8"/>
      <c r="E31" s="8" t="str">
        <f>IF(C31="","",IFERROR(INDEX(GÄSTELISTE!N$6:N$305,MATCH(C31&amp;" "&amp;D31,GÄSTELISTE!Q$6:Q$305,0)),"nicht gefunden"))</f>
        <v/>
      </c>
      <c r="F31" s="8" t="str">
        <f>IF(C31="","",IFERROR(INDEX(GÄSTELISTE!H$6:H$305,MATCH(C31&amp;" "&amp;D31,GÄSTELISTE!Q$6:Q$305,0)),""))</f>
        <v/>
      </c>
      <c r="G31" s="8"/>
    </row>
    <row r="32" spans="1:7" x14ac:dyDescent="0.25">
      <c r="A32" s="11"/>
      <c r="B32" s="11"/>
      <c r="C32" s="11"/>
      <c r="D32" s="11"/>
      <c r="E32" s="11" t="str">
        <f>IF(C32="","",IFERROR(INDEX(GÄSTELISTE!N$6:N$305,MATCH(C32&amp;" "&amp;D32,GÄSTELISTE!Q$6:Q$305,0)),"nicht gefunden"))</f>
        <v/>
      </c>
      <c r="F32" s="11" t="str">
        <f>IF(C32="","",IFERROR(INDEX(GÄSTELISTE!H$6:H$305,MATCH(C32&amp;" "&amp;D32,GÄSTELISTE!Q$6:Q$305,0)),""))</f>
        <v/>
      </c>
      <c r="G32" s="11"/>
    </row>
    <row r="33" spans="1:7" x14ac:dyDescent="0.25">
      <c r="A33" s="8"/>
      <c r="B33" s="8"/>
      <c r="C33" s="8"/>
      <c r="D33" s="8"/>
      <c r="E33" s="8" t="str">
        <f>IF(C33="","",IFERROR(INDEX(GÄSTELISTE!N$6:N$305,MATCH(C33&amp;" "&amp;D33,GÄSTELISTE!Q$6:Q$305,0)),"nicht gefunden"))</f>
        <v/>
      </c>
      <c r="F33" s="8" t="str">
        <f>IF(C33="","",IFERROR(INDEX(GÄSTELISTE!H$6:H$305,MATCH(C33&amp;" "&amp;D33,GÄSTELISTE!Q$6:Q$305,0)),""))</f>
        <v/>
      </c>
      <c r="G33" s="8"/>
    </row>
    <row r="34" spans="1:7" x14ac:dyDescent="0.25">
      <c r="A34" s="11"/>
      <c r="B34" s="11"/>
      <c r="C34" s="11"/>
      <c r="D34" s="11"/>
      <c r="E34" s="11" t="str">
        <f>IF(C34="","",IFERROR(INDEX(GÄSTELISTE!N$6:N$305,MATCH(C34&amp;" "&amp;D34,GÄSTELISTE!Q$6:Q$305,0)),"nicht gefunden"))</f>
        <v/>
      </c>
      <c r="F34" s="11" t="str">
        <f>IF(C34="","",IFERROR(INDEX(GÄSTELISTE!H$6:H$305,MATCH(C34&amp;" "&amp;D34,GÄSTELISTE!Q$6:Q$305,0)),""))</f>
        <v/>
      </c>
      <c r="G34" s="11"/>
    </row>
    <row r="35" spans="1:7" x14ac:dyDescent="0.25">
      <c r="A35" s="8"/>
      <c r="B35" s="8"/>
      <c r="C35" s="8"/>
      <c r="D35" s="8"/>
      <c r="E35" s="8" t="str">
        <f>IF(C35="","",IFERROR(INDEX(GÄSTELISTE!N$6:N$305,MATCH(C35&amp;" "&amp;D35,GÄSTELISTE!Q$6:Q$305,0)),"nicht gefunden"))</f>
        <v/>
      </c>
      <c r="F35" s="8" t="str">
        <f>IF(C35="","",IFERROR(INDEX(GÄSTELISTE!H$6:H$305,MATCH(C35&amp;" "&amp;D35,GÄSTELISTE!Q$6:Q$305,0)),""))</f>
        <v/>
      </c>
      <c r="G35" s="8"/>
    </row>
    <row r="36" spans="1:7" x14ac:dyDescent="0.25">
      <c r="A36" s="11"/>
      <c r="B36" s="11"/>
      <c r="C36" s="11"/>
      <c r="D36" s="11"/>
      <c r="E36" s="11" t="str">
        <f>IF(C36="","",IFERROR(INDEX(GÄSTELISTE!N$6:N$305,MATCH(C36&amp;" "&amp;D36,GÄSTELISTE!Q$6:Q$305,0)),"nicht gefunden"))</f>
        <v/>
      </c>
      <c r="F36" s="11" t="str">
        <f>IF(C36="","",IFERROR(INDEX(GÄSTELISTE!H$6:H$305,MATCH(C36&amp;" "&amp;D36,GÄSTELISTE!Q$6:Q$305,0)),""))</f>
        <v/>
      </c>
      <c r="G36" s="11"/>
    </row>
    <row r="37" spans="1:7" x14ac:dyDescent="0.25">
      <c r="A37" s="8"/>
      <c r="B37" s="8"/>
      <c r="C37" s="8"/>
      <c r="D37" s="8"/>
      <c r="E37" s="8" t="str">
        <f>IF(C37="","",IFERROR(INDEX(GÄSTELISTE!N$6:N$305,MATCH(C37&amp;" "&amp;D37,GÄSTELISTE!Q$6:Q$305,0)),"nicht gefunden"))</f>
        <v/>
      </c>
      <c r="F37" s="8" t="str">
        <f>IF(C37="","",IFERROR(INDEX(GÄSTELISTE!H$6:H$305,MATCH(C37&amp;" "&amp;D37,GÄSTELISTE!Q$6:Q$305,0)),""))</f>
        <v/>
      </c>
      <c r="G37" s="8"/>
    </row>
    <row r="38" spans="1:7" x14ac:dyDescent="0.25">
      <c r="A38" s="11"/>
      <c r="B38" s="11"/>
      <c r="C38" s="11"/>
      <c r="D38" s="11"/>
      <c r="E38" s="11" t="str">
        <f>IF(C38="","",IFERROR(INDEX(GÄSTELISTE!N$6:N$305,MATCH(C38&amp;" "&amp;D38,GÄSTELISTE!Q$6:Q$305,0)),"nicht gefunden"))</f>
        <v/>
      </c>
      <c r="F38" s="11" t="str">
        <f>IF(C38="","",IFERROR(INDEX(GÄSTELISTE!H$6:H$305,MATCH(C38&amp;" "&amp;D38,GÄSTELISTE!Q$6:Q$305,0)),""))</f>
        <v/>
      </c>
      <c r="G38" s="11"/>
    </row>
    <row r="39" spans="1:7" x14ac:dyDescent="0.25">
      <c r="A39" s="8"/>
      <c r="B39" s="8"/>
      <c r="C39" s="8"/>
      <c r="D39" s="8"/>
      <c r="E39" s="8" t="str">
        <f>IF(C39="","",IFERROR(INDEX(GÄSTELISTE!N$6:N$305,MATCH(C39&amp;" "&amp;D39,GÄSTELISTE!Q$6:Q$305,0)),"nicht gefunden"))</f>
        <v/>
      </c>
      <c r="F39" s="8" t="str">
        <f>IF(C39="","",IFERROR(INDEX(GÄSTELISTE!H$6:H$305,MATCH(C39&amp;" "&amp;D39,GÄSTELISTE!Q$6:Q$305,0)),""))</f>
        <v/>
      </c>
      <c r="G39" s="8"/>
    </row>
    <row r="40" spans="1:7" x14ac:dyDescent="0.25">
      <c r="A40" s="11"/>
      <c r="B40" s="11"/>
      <c r="C40" s="11"/>
      <c r="D40" s="11"/>
      <c r="E40" s="11" t="str">
        <f>IF(C40="","",IFERROR(INDEX(GÄSTELISTE!N$6:N$305,MATCH(C40&amp;" "&amp;D40,GÄSTELISTE!Q$6:Q$305,0)),"nicht gefunden"))</f>
        <v/>
      </c>
      <c r="F40" s="11" t="str">
        <f>IF(C40="","",IFERROR(INDEX(GÄSTELISTE!H$6:H$305,MATCH(C40&amp;" "&amp;D40,GÄSTELISTE!Q$6:Q$305,0)),""))</f>
        <v/>
      </c>
      <c r="G40" s="11"/>
    </row>
    <row r="41" spans="1:7" x14ac:dyDescent="0.25">
      <c r="A41" s="8"/>
      <c r="B41" s="8"/>
      <c r="C41" s="8"/>
      <c r="D41" s="8"/>
      <c r="E41" s="8" t="str">
        <f>IF(C41="","",IFERROR(INDEX(GÄSTELISTE!N$6:N$305,MATCH(C41&amp;" "&amp;D41,GÄSTELISTE!Q$6:Q$305,0)),"nicht gefunden"))</f>
        <v/>
      </c>
      <c r="F41" s="8" t="str">
        <f>IF(C41="","",IFERROR(INDEX(GÄSTELISTE!H$6:H$305,MATCH(C41&amp;" "&amp;D41,GÄSTELISTE!Q$6:Q$305,0)),""))</f>
        <v/>
      </c>
      <c r="G41" s="8"/>
    </row>
    <row r="42" spans="1:7" x14ac:dyDescent="0.25">
      <c r="A42" s="11"/>
      <c r="B42" s="11"/>
      <c r="C42" s="11"/>
      <c r="D42" s="11"/>
      <c r="E42" s="11" t="str">
        <f>IF(C42="","",IFERROR(INDEX(GÄSTELISTE!N$6:N$305,MATCH(C42&amp;" "&amp;D42,GÄSTELISTE!Q$6:Q$305,0)),"nicht gefunden"))</f>
        <v/>
      </c>
      <c r="F42" s="11" t="str">
        <f>IF(C42="","",IFERROR(INDEX(GÄSTELISTE!H$6:H$305,MATCH(C42&amp;" "&amp;D42,GÄSTELISTE!Q$6:Q$305,0)),""))</f>
        <v/>
      </c>
      <c r="G42" s="11"/>
    </row>
    <row r="43" spans="1:7" x14ac:dyDescent="0.25">
      <c r="A43" s="8"/>
      <c r="B43" s="8"/>
      <c r="C43" s="8"/>
      <c r="D43" s="8"/>
      <c r="E43" s="8" t="str">
        <f>IF(C43="","",IFERROR(INDEX(GÄSTELISTE!N$6:N$305,MATCH(C43&amp;" "&amp;D43,GÄSTELISTE!Q$6:Q$305,0)),"nicht gefunden"))</f>
        <v/>
      </c>
      <c r="F43" s="8" t="str">
        <f>IF(C43="","",IFERROR(INDEX(GÄSTELISTE!H$6:H$305,MATCH(C43&amp;" "&amp;D43,GÄSTELISTE!Q$6:Q$305,0)),""))</f>
        <v/>
      </c>
      <c r="G43" s="8"/>
    </row>
    <row r="44" spans="1:7" x14ac:dyDescent="0.25">
      <c r="A44" s="11"/>
      <c r="B44" s="11"/>
      <c r="C44" s="11"/>
      <c r="D44" s="11"/>
      <c r="E44" s="11" t="str">
        <f>IF(C44="","",IFERROR(INDEX(GÄSTELISTE!N$6:N$305,MATCH(C44&amp;" "&amp;D44,GÄSTELISTE!Q$6:Q$305,0)),"nicht gefunden"))</f>
        <v/>
      </c>
      <c r="F44" s="11" t="str">
        <f>IF(C44="","",IFERROR(INDEX(GÄSTELISTE!H$6:H$305,MATCH(C44&amp;" "&amp;D44,GÄSTELISTE!Q$6:Q$305,0)),""))</f>
        <v/>
      </c>
      <c r="G44" s="11"/>
    </row>
    <row r="45" spans="1:7" x14ac:dyDescent="0.25">
      <c r="A45" s="8"/>
      <c r="B45" s="8"/>
      <c r="C45" s="8"/>
      <c r="D45" s="8"/>
      <c r="E45" s="8" t="str">
        <f>IF(C45="","",IFERROR(INDEX(GÄSTELISTE!N$6:N$305,MATCH(C45&amp;" "&amp;D45,GÄSTELISTE!Q$6:Q$305,0)),"nicht gefunden"))</f>
        <v/>
      </c>
      <c r="F45" s="8" t="str">
        <f>IF(C45="","",IFERROR(INDEX(GÄSTELISTE!H$6:H$305,MATCH(C45&amp;" "&amp;D45,GÄSTELISTE!Q$6:Q$305,0)),""))</f>
        <v/>
      </c>
      <c r="G45" s="8"/>
    </row>
    <row r="46" spans="1:7" x14ac:dyDescent="0.25">
      <c r="A46" s="11"/>
      <c r="B46" s="11"/>
      <c r="C46" s="11"/>
      <c r="D46" s="11"/>
      <c r="E46" s="11" t="str">
        <f>IF(C46="","",IFERROR(INDEX(GÄSTELISTE!N$6:N$305,MATCH(C46&amp;" "&amp;D46,GÄSTELISTE!Q$6:Q$305,0)),"nicht gefunden"))</f>
        <v/>
      </c>
      <c r="F46" s="11" t="str">
        <f>IF(C46="","",IFERROR(INDEX(GÄSTELISTE!H$6:H$305,MATCH(C46&amp;" "&amp;D46,GÄSTELISTE!Q$6:Q$305,0)),""))</f>
        <v/>
      </c>
      <c r="G46" s="11"/>
    </row>
    <row r="47" spans="1:7" x14ac:dyDescent="0.25">
      <c r="A47" s="8"/>
      <c r="B47" s="8"/>
      <c r="C47" s="8"/>
      <c r="D47" s="8"/>
      <c r="E47" s="8" t="str">
        <f>IF(C47="","",IFERROR(INDEX(GÄSTELISTE!N$6:N$305,MATCH(C47&amp;" "&amp;D47,GÄSTELISTE!Q$6:Q$305,0)),"nicht gefunden"))</f>
        <v/>
      </c>
      <c r="F47" s="8" t="str">
        <f>IF(C47="","",IFERROR(INDEX(GÄSTELISTE!H$6:H$305,MATCH(C47&amp;" "&amp;D47,GÄSTELISTE!Q$6:Q$305,0)),""))</f>
        <v/>
      </c>
      <c r="G47" s="8"/>
    </row>
    <row r="48" spans="1:7" x14ac:dyDescent="0.25">
      <c r="A48" s="11"/>
      <c r="B48" s="11"/>
      <c r="C48" s="11"/>
      <c r="D48" s="11"/>
      <c r="E48" s="11" t="str">
        <f>IF(C48="","",IFERROR(INDEX(GÄSTELISTE!N$6:N$305,MATCH(C48&amp;" "&amp;D48,GÄSTELISTE!Q$6:Q$305,0)),"nicht gefunden"))</f>
        <v/>
      </c>
      <c r="F48" s="11" t="str">
        <f>IF(C48="","",IFERROR(INDEX(GÄSTELISTE!H$6:H$305,MATCH(C48&amp;" "&amp;D48,GÄSTELISTE!Q$6:Q$305,0)),""))</f>
        <v/>
      </c>
      <c r="G48" s="11"/>
    </row>
    <row r="49" spans="1:7" x14ac:dyDescent="0.25">
      <c r="A49" s="8"/>
      <c r="B49" s="8"/>
      <c r="C49" s="8"/>
      <c r="D49" s="8"/>
      <c r="E49" s="8" t="str">
        <f>IF(C49="","",IFERROR(INDEX(GÄSTELISTE!N$6:N$305,MATCH(C49&amp;" "&amp;D49,GÄSTELISTE!Q$6:Q$305,0)),"nicht gefunden"))</f>
        <v/>
      </c>
      <c r="F49" s="8" t="str">
        <f>IF(C49="","",IFERROR(INDEX(GÄSTELISTE!H$6:H$305,MATCH(C49&amp;" "&amp;D49,GÄSTELISTE!Q$6:Q$305,0)),""))</f>
        <v/>
      </c>
      <c r="G49" s="8"/>
    </row>
    <row r="50" spans="1:7" x14ac:dyDescent="0.25">
      <c r="A50" s="11"/>
      <c r="B50" s="11"/>
      <c r="C50" s="11"/>
      <c r="D50" s="11"/>
      <c r="E50" s="11" t="str">
        <f>IF(C50="","",IFERROR(INDEX(GÄSTELISTE!N$6:N$305,MATCH(C50&amp;" "&amp;D50,GÄSTELISTE!Q$6:Q$305,0)),"nicht gefunden"))</f>
        <v/>
      </c>
      <c r="F50" s="11" t="str">
        <f>IF(C50="","",IFERROR(INDEX(GÄSTELISTE!H$6:H$305,MATCH(C50&amp;" "&amp;D50,GÄSTELISTE!Q$6:Q$305,0)),""))</f>
        <v/>
      </c>
      <c r="G50" s="11"/>
    </row>
    <row r="51" spans="1:7" x14ac:dyDescent="0.25">
      <c r="A51" s="8"/>
      <c r="B51" s="8"/>
      <c r="C51" s="8"/>
      <c r="D51" s="8"/>
      <c r="E51" s="8" t="str">
        <f>IF(C51="","",IFERROR(INDEX(GÄSTELISTE!N$6:N$305,MATCH(C51&amp;" "&amp;D51,GÄSTELISTE!Q$6:Q$305,0)),"nicht gefunden"))</f>
        <v/>
      </c>
      <c r="F51" s="8" t="str">
        <f>IF(C51="","",IFERROR(INDEX(GÄSTELISTE!H$6:H$305,MATCH(C51&amp;" "&amp;D51,GÄSTELISTE!Q$6:Q$305,0)),""))</f>
        <v/>
      </c>
      <c r="G51" s="8"/>
    </row>
    <row r="52" spans="1:7" x14ac:dyDescent="0.25">
      <c r="A52" s="11"/>
      <c r="B52" s="11"/>
      <c r="C52" s="11"/>
      <c r="D52" s="11"/>
      <c r="E52" s="11" t="str">
        <f>IF(C52="","",IFERROR(INDEX(GÄSTELISTE!N$6:N$305,MATCH(C52&amp;" "&amp;D52,GÄSTELISTE!Q$6:Q$305,0)),"nicht gefunden"))</f>
        <v/>
      </c>
      <c r="F52" s="11" t="str">
        <f>IF(C52="","",IFERROR(INDEX(GÄSTELISTE!H$6:H$305,MATCH(C52&amp;" "&amp;D52,GÄSTELISTE!Q$6:Q$305,0)),""))</f>
        <v/>
      </c>
      <c r="G52" s="11"/>
    </row>
    <row r="53" spans="1:7" x14ac:dyDescent="0.25">
      <c r="A53" s="8"/>
      <c r="B53" s="8"/>
      <c r="C53" s="8"/>
      <c r="D53" s="8"/>
      <c r="E53" s="8" t="str">
        <f>IF(C53="","",IFERROR(INDEX(GÄSTELISTE!N$6:N$305,MATCH(C53&amp;" "&amp;D53,GÄSTELISTE!Q$6:Q$305,0)),"nicht gefunden"))</f>
        <v/>
      </c>
      <c r="F53" s="8" t="str">
        <f>IF(C53="","",IFERROR(INDEX(GÄSTELISTE!H$6:H$305,MATCH(C53&amp;" "&amp;D53,GÄSTELISTE!Q$6:Q$305,0)),""))</f>
        <v/>
      </c>
      <c r="G53" s="8"/>
    </row>
    <row r="54" spans="1:7" x14ac:dyDescent="0.25">
      <c r="A54" s="11"/>
      <c r="B54" s="11"/>
      <c r="C54" s="11"/>
      <c r="D54" s="11"/>
      <c r="E54" s="11" t="str">
        <f>IF(C54="","",IFERROR(INDEX(GÄSTELISTE!N$6:N$305,MATCH(C54&amp;" "&amp;D54,GÄSTELISTE!Q$6:Q$305,0)),"nicht gefunden"))</f>
        <v/>
      </c>
      <c r="F54" s="11" t="str">
        <f>IF(C54="","",IFERROR(INDEX(GÄSTELISTE!H$6:H$305,MATCH(C54&amp;" "&amp;D54,GÄSTELISTE!Q$6:Q$305,0)),""))</f>
        <v/>
      </c>
      <c r="G54" s="11"/>
    </row>
    <row r="55" spans="1:7" x14ac:dyDescent="0.25">
      <c r="A55" s="8"/>
      <c r="B55" s="8"/>
      <c r="C55" s="8"/>
      <c r="D55" s="8"/>
      <c r="E55" s="8" t="str">
        <f>IF(C55="","",IFERROR(INDEX(GÄSTELISTE!N$6:N$305,MATCH(C55&amp;" "&amp;D55,GÄSTELISTE!Q$6:Q$305,0)),"nicht gefunden"))</f>
        <v/>
      </c>
      <c r="F55" s="8" t="str">
        <f>IF(C55="","",IFERROR(INDEX(GÄSTELISTE!H$6:H$305,MATCH(C55&amp;" "&amp;D55,GÄSTELISTE!Q$6:Q$305,0)),""))</f>
        <v/>
      </c>
      <c r="G55" s="8"/>
    </row>
    <row r="56" spans="1:7" x14ac:dyDescent="0.25">
      <c r="A56" s="11"/>
      <c r="B56" s="11"/>
      <c r="C56" s="11"/>
      <c r="D56" s="11"/>
      <c r="E56" s="11" t="str">
        <f>IF(C56="","",IFERROR(INDEX(GÄSTELISTE!N$6:N$305,MATCH(C56&amp;" "&amp;D56,GÄSTELISTE!Q$6:Q$305,0)),"nicht gefunden"))</f>
        <v/>
      </c>
      <c r="F56" s="11" t="str">
        <f>IF(C56="","",IFERROR(INDEX(GÄSTELISTE!H$6:H$305,MATCH(C56&amp;" "&amp;D56,GÄSTELISTE!Q$6:Q$305,0)),""))</f>
        <v/>
      </c>
      <c r="G56" s="11"/>
    </row>
    <row r="57" spans="1:7" x14ac:dyDescent="0.25">
      <c r="A57" s="8"/>
      <c r="B57" s="8"/>
      <c r="C57" s="8"/>
      <c r="D57" s="8"/>
      <c r="E57" s="8" t="str">
        <f>IF(C57="","",IFERROR(INDEX(GÄSTELISTE!N$6:N$305,MATCH(C57&amp;" "&amp;D57,GÄSTELISTE!Q$6:Q$305,0)),"nicht gefunden"))</f>
        <v/>
      </c>
      <c r="F57" s="8" t="str">
        <f>IF(C57="","",IFERROR(INDEX(GÄSTELISTE!H$6:H$305,MATCH(C57&amp;" "&amp;D57,GÄSTELISTE!Q$6:Q$305,0)),""))</f>
        <v/>
      </c>
      <c r="G57" s="8"/>
    </row>
    <row r="58" spans="1:7" x14ac:dyDescent="0.25">
      <c r="A58" s="11"/>
      <c r="B58" s="11"/>
      <c r="C58" s="11"/>
      <c r="D58" s="11"/>
      <c r="E58" s="11" t="str">
        <f>IF(C58="","",IFERROR(INDEX(GÄSTELISTE!N$6:N$305,MATCH(C58&amp;" "&amp;D58,GÄSTELISTE!Q$6:Q$305,0)),"nicht gefunden"))</f>
        <v/>
      </c>
      <c r="F58" s="11" t="str">
        <f>IF(C58="","",IFERROR(INDEX(GÄSTELISTE!H$6:H$305,MATCH(C58&amp;" "&amp;D58,GÄSTELISTE!Q$6:Q$305,0)),""))</f>
        <v/>
      </c>
      <c r="G58" s="11"/>
    </row>
    <row r="59" spans="1:7" x14ac:dyDescent="0.25">
      <c r="A59" s="8"/>
      <c r="B59" s="8"/>
      <c r="C59" s="8"/>
      <c r="D59" s="8"/>
      <c r="E59" s="8" t="str">
        <f>IF(C59="","",IFERROR(INDEX(GÄSTELISTE!N$6:N$305,MATCH(C59&amp;" "&amp;D59,GÄSTELISTE!Q$6:Q$305,0)),"nicht gefunden"))</f>
        <v/>
      </c>
      <c r="F59" s="8" t="str">
        <f>IF(C59="","",IFERROR(INDEX(GÄSTELISTE!H$6:H$305,MATCH(C59&amp;" "&amp;D59,GÄSTELISTE!Q$6:Q$305,0)),""))</f>
        <v/>
      </c>
      <c r="G59" s="8"/>
    </row>
    <row r="60" spans="1:7" x14ac:dyDescent="0.25">
      <c r="A60" s="11"/>
      <c r="B60" s="11"/>
      <c r="C60" s="11"/>
      <c r="D60" s="11"/>
      <c r="E60" s="11" t="str">
        <f>IF(C60="","",IFERROR(INDEX(GÄSTELISTE!N$6:N$305,MATCH(C60&amp;" "&amp;D60,GÄSTELISTE!Q$6:Q$305,0)),"nicht gefunden"))</f>
        <v/>
      </c>
      <c r="F60" s="11" t="str">
        <f>IF(C60="","",IFERROR(INDEX(GÄSTELISTE!H$6:H$305,MATCH(C60&amp;" "&amp;D60,GÄSTELISTE!Q$6:Q$305,0)),""))</f>
        <v/>
      </c>
      <c r="G60" s="11"/>
    </row>
    <row r="61" spans="1:7" x14ac:dyDescent="0.25">
      <c r="A61" s="8"/>
      <c r="B61" s="8"/>
      <c r="C61" s="8"/>
      <c r="D61" s="8"/>
      <c r="E61" s="8" t="str">
        <f>IF(C61="","",IFERROR(INDEX(GÄSTELISTE!N$6:N$305,MATCH(C61&amp;" "&amp;D61,GÄSTELISTE!Q$6:Q$305,0)),"nicht gefunden"))</f>
        <v/>
      </c>
      <c r="F61" s="8" t="str">
        <f>IF(C61="","",IFERROR(INDEX(GÄSTELISTE!H$6:H$305,MATCH(C61&amp;" "&amp;D61,GÄSTELISTE!Q$6:Q$305,0)),""))</f>
        <v/>
      </c>
      <c r="G61" s="8"/>
    </row>
    <row r="62" spans="1:7" x14ac:dyDescent="0.25">
      <c r="A62" s="11"/>
      <c r="B62" s="11"/>
      <c r="C62" s="11"/>
      <c r="D62" s="11"/>
      <c r="E62" s="11" t="str">
        <f>IF(C62="","",IFERROR(INDEX(GÄSTELISTE!N$6:N$305,MATCH(C62&amp;" "&amp;D62,GÄSTELISTE!Q$6:Q$305,0)),"nicht gefunden"))</f>
        <v/>
      </c>
      <c r="F62" s="11" t="str">
        <f>IF(C62="","",IFERROR(INDEX(GÄSTELISTE!H$6:H$305,MATCH(C62&amp;" "&amp;D62,GÄSTELISTE!Q$6:Q$305,0)),""))</f>
        <v/>
      </c>
      <c r="G62" s="11"/>
    </row>
    <row r="63" spans="1:7" x14ac:dyDescent="0.25">
      <c r="A63" s="8"/>
      <c r="B63" s="8"/>
      <c r="C63" s="8"/>
      <c r="D63" s="8"/>
      <c r="E63" s="8" t="str">
        <f>IF(C63="","",IFERROR(INDEX(GÄSTELISTE!N$6:N$305,MATCH(C63&amp;" "&amp;D63,GÄSTELISTE!Q$6:Q$305,0)),"nicht gefunden"))</f>
        <v/>
      </c>
      <c r="F63" s="8" t="str">
        <f>IF(C63="","",IFERROR(INDEX(GÄSTELISTE!H$6:H$305,MATCH(C63&amp;" "&amp;D63,GÄSTELISTE!Q$6:Q$305,0)),""))</f>
        <v/>
      </c>
      <c r="G63" s="8"/>
    </row>
    <row r="64" spans="1:7" x14ac:dyDescent="0.25">
      <c r="A64" s="11"/>
      <c r="B64" s="11"/>
      <c r="C64" s="11"/>
      <c r="D64" s="11"/>
      <c r="E64" s="11" t="str">
        <f>IF(C64="","",IFERROR(INDEX(GÄSTELISTE!N$6:N$305,MATCH(C64&amp;" "&amp;D64,GÄSTELISTE!Q$6:Q$305,0)),"nicht gefunden"))</f>
        <v/>
      </c>
      <c r="F64" s="11" t="str">
        <f>IF(C64="","",IFERROR(INDEX(GÄSTELISTE!H$6:H$305,MATCH(C64&amp;" "&amp;D64,GÄSTELISTE!Q$6:Q$305,0)),""))</f>
        <v/>
      </c>
      <c r="G64" s="11"/>
    </row>
    <row r="65" spans="1:7" x14ac:dyDescent="0.25">
      <c r="A65" s="8"/>
      <c r="B65" s="8"/>
      <c r="C65" s="8"/>
      <c r="D65" s="8"/>
      <c r="E65" s="8" t="str">
        <f>IF(C65="","",IFERROR(INDEX(GÄSTELISTE!N$6:N$305,MATCH(C65&amp;" "&amp;D65,GÄSTELISTE!Q$6:Q$305,0)),"nicht gefunden"))</f>
        <v/>
      </c>
      <c r="F65" s="8" t="str">
        <f>IF(C65="","",IFERROR(INDEX(GÄSTELISTE!H$6:H$305,MATCH(C65&amp;" "&amp;D65,GÄSTELISTE!Q$6:Q$305,0)),""))</f>
        <v/>
      </c>
      <c r="G65" s="8"/>
    </row>
    <row r="66" spans="1:7" x14ac:dyDescent="0.25">
      <c r="A66" s="11"/>
      <c r="B66" s="11"/>
      <c r="C66" s="11"/>
      <c r="D66" s="11"/>
      <c r="E66" s="11" t="str">
        <f>IF(C66="","",IFERROR(INDEX(GÄSTELISTE!N$6:N$305,MATCH(C66&amp;" "&amp;D66,GÄSTELISTE!Q$6:Q$305,0)),"nicht gefunden"))</f>
        <v/>
      </c>
      <c r="F66" s="11" t="str">
        <f>IF(C66="","",IFERROR(INDEX(GÄSTELISTE!H$6:H$305,MATCH(C66&amp;" "&amp;D66,GÄSTELISTE!Q$6:Q$305,0)),""))</f>
        <v/>
      </c>
      <c r="G66" s="11"/>
    </row>
    <row r="67" spans="1:7" x14ac:dyDescent="0.25">
      <c r="A67" s="8"/>
      <c r="B67" s="8"/>
      <c r="C67" s="8"/>
      <c r="D67" s="8"/>
      <c r="E67" s="8" t="str">
        <f>IF(C67="","",IFERROR(INDEX(GÄSTELISTE!N$6:N$305,MATCH(C67&amp;" "&amp;D67,GÄSTELISTE!Q$6:Q$305,0)),"nicht gefunden"))</f>
        <v/>
      </c>
      <c r="F67" s="8" t="str">
        <f>IF(C67="","",IFERROR(INDEX(GÄSTELISTE!H$6:H$305,MATCH(C67&amp;" "&amp;D67,GÄSTELISTE!Q$6:Q$305,0)),""))</f>
        <v/>
      </c>
      <c r="G67" s="8"/>
    </row>
    <row r="68" spans="1:7" x14ac:dyDescent="0.25">
      <c r="A68" s="11"/>
      <c r="B68" s="11"/>
      <c r="C68" s="11"/>
      <c r="D68" s="11"/>
      <c r="E68" s="11" t="str">
        <f>IF(C68="","",IFERROR(INDEX(GÄSTELISTE!N$6:N$305,MATCH(C68&amp;" "&amp;D68,GÄSTELISTE!Q$6:Q$305,0)),"nicht gefunden"))</f>
        <v/>
      </c>
      <c r="F68" s="11" t="str">
        <f>IF(C68="","",IFERROR(INDEX(GÄSTELISTE!H$6:H$305,MATCH(C68&amp;" "&amp;D68,GÄSTELISTE!Q$6:Q$305,0)),""))</f>
        <v/>
      </c>
      <c r="G68" s="11"/>
    </row>
    <row r="69" spans="1:7" x14ac:dyDescent="0.25">
      <c r="A69" s="8"/>
      <c r="B69" s="8"/>
      <c r="C69" s="8"/>
      <c r="D69" s="8"/>
      <c r="E69" s="8" t="str">
        <f>IF(C69="","",IFERROR(INDEX(GÄSTELISTE!N$6:N$305,MATCH(C69&amp;" "&amp;D69,GÄSTELISTE!Q$6:Q$305,0)),"nicht gefunden"))</f>
        <v/>
      </c>
      <c r="F69" s="8" t="str">
        <f>IF(C69="","",IFERROR(INDEX(GÄSTELISTE!H$6:H$305,MATCH(C69&amp;" "&amp;D69,GÄSTELISTE!Q$6:Q$305,0)),""))</f>
        <v/>
      </c>
      <c r="G69" s="8"/>
    </row>
    <row r="70" spans="1:7" x14ac:dyDescent="0.25">
      <c r="A70" s="11"/>
      <c r="B70" s="11"/>
      <c r="C70" s="11"/>
      <c r="D70" s="11"/>
      <c r="E70" s="11" t="str">
        <f>IF(C70="","",IFERROR(INDEX(GÄSTELISTE!N$6:N$305,MATCH(C70&amp;" "&amp;D70,GÄSTELISTE!Q$6:Q$305,0)),"nicht gefunden"))</f>
        <v/>
      </c>
      <c r="F70" s="11" t="str">
        <f>IF(C70="","",IFERROR(INDEX(GÄSTELISTE!H$6:H$305,MATCH(C70&amp;" "&amp;D70,GÄSTELISTE!Q$6:Q$305,0)),""))</f>
        <v/>
      </c>
      <c r="G70" s="11"/>
    </row>
    <row r="71" spans="1:7" x14ac:dyDescent="0.25">
      <c r="A71" s="8"/>
      <c r="B71" s="8"/>
      <c r="C71" s="8"/>
      <c r="D71" s="8"/>
      <c r="E71" s="8" t="str">
        <f>IF(C71="","",IFERROR(INDEX(GÄSTELISTE!N$6:N$305,MATCH(C71&amp;" "&amp;D71,GÄSTELISTE!Q$6:Q$305,0)),"nicht gefunden"))</f>
        <v/>
      </c>
      <c r="F71" s="8" t="str">
        <f>IF(C71="","",IFERROR(INDEX(GÄSTELISTE!H$6:H$305,MATCH(C71&amp;" "&amp;D71,GÄSTELISTE!Q$6:Q$305,0)),""))</f>
        <v/>
      </c>
      <c r="G71" s="8"/>
    </row>
    <row r="72" spans="1:7" x14ac:dyDescent="0.25">
      <c r="A72" s="11"/>
      <c r="B72" s="11"/>
      <c r="C72" s="11"/>
      <c r="D72" s="11"/>
      <c r="E72" s="11" t="str">
        <f>IF(C72="","",IFERROR(INDEX(GÄSTELISTE!N$6:N$305,MATCH(C72&amp;" "&amp;D72,GÄSTELISTE!Q$6:Q$305,0)),"nicht gefunden"))</f>
        <v/>
      </c>
      <c r="F72" s="11" t="str">
        <f>IF(C72="","",IFERROR(INDEX(GÄSTELISTE!H$6:H$305,MATCH(C72&amp;" "&amp;D72,GÄSTELISTE!Q$6:Q$305,0)),""))</f>
        <v/>
      </c>
      <c r="G72" s="11"/>
    </row>
    <row r="73" spans="1:7" x14ac:dyDescent="0.25">
      <c r="A73" s="8"/>
      <c r="B73" s="8"/>
      <c r="C73" s="8"/>
      <c r="D73" s="8"/>
      <c r="E73" s="8" t="str">
        <f>IF(C73="","",IFERROR(INDEX(GÄSTELISTE!N$6:N$305,MATCH(C73&amp;" "&amp;D73,GÄSTELISTE!Q$6:Q$305,0)),"nicht gefunden"))</f>
        <v/>
      </c>
      <c r="F73" s="8" t="str">
        <f>IF(C73="","",IFERROR(INDEX(GÄSTELISTE!H$6:H$305,MATCH(C73&amp;" "&amp;D73,GÄSTELISTE!Q$6:Q$305,0)),""))</f>
        <v/>
      </c>
      <c r="G73" s="8"/>
    </row>
    <row r="74" spans="1:7" x14ac:dyDescent="0.25">
      <c r="A74" s="11"/>
      <c r="B74" s="11"/>
      <c r="C74" s="11"/>
      <c r="D74" s="11"/>
      <c r="E74" s="11" t="str">
        <f>IF(C74="","",IFERROR(INDEX(GÄSTELISTE!N$6:N$305,MATCH(C74&amp;" "&amp;D74,GÄSTELISTE!Q$6:Q$305,0)),"nicht gefunden"))</f>
        <v/>
      </c>
      <c r="F74" s="11" t="str">
        <f>IF(C74="","",IFERROR(INDEX(GÄSTELISTE!H$6:H$305,MATCH(C74&amp;" "&amp;D74,GÄSTELISTE!Q$6:Q$305,0)),""))</f>
        <v/>
      </c>
      <c r="G74" s="11"/>
    </row>
    <row r="75" spans="1:7" x14ac:dyDescent="0.25">
      <c r="A75" s="8"/>
      <c r="B75" s="8"/>
      <c r="C75" s="8"/>
      <c r="D75" s="8"/>
      <c r="E75" s="8" t="str">
        <f>IF(C75="","",IFERROR(INDEX(GÄSTELISTE!N$6:N$305,MATCH(C75&amp;" "&amp;D75,GÄSTELISTE!Q$6:Q$305,0)),"nicht gefunden"))</f>
        <v/>
      </c>
      <c r="F75" s="8" t="str">
        <f>IF(C75="","",IFERROR(INDEX(GÄSTELISTE!H$6:H$305,MATCH(C75&amp;" "&amp;D75,GÄSTELISTE!Q$6:Q$305,0)),""))</f>
        <v/>
      </c>
      <c r="G75" s="8"/>
    </row>
    <row r="76" spans="1:7" x14ac:dyDescent="0.25">
      <c r="A76" s="11"/>
      <c r="B76" s="11"/>
      <c r="C76" s="11"/>
      <c r="D76" s="11"/>
      <c r="E76" s="11" t="str">
        <f>IF(C76="","",IFERROR(INDEX(GÄSTELISTE!N$6:N$305,MATCH(C76&amp;" "&amp;D76,GÄSTELISTE!Q$6:Q$305,0)),"nicht gefunden"))</f>
        <v/>
      </c>
      <c r="F76" s="11" t="str">
        <f>IF(C76="","",IFERROR(INDEX(GÄSTELISTE!H$6:H$305,MATCH(C76&amp;" "&amp;D76,GÄSTELISTE!Q$6:Q$305,0)),""))</f>
        <v/>
      </c>
      <c r="G76" s="11"/>
    </row>
    <row r="77" spans="1:7" x14ac:dyDescent="0.25">
      <c r="A77" s="8"/>
      <c r="B77" s="8"/>
      <c r="C77" s="8"/>
      <c r="D77" s="8"/>
      <c r="E77" s="8" t="str">
        <f>IF(C77="","",IFERROR(INDEX(GÄSTELISTE!N$6:N$305,MATCH(C77&amp;" "&amp;D77,GÄSTELISTE!Q$6:Q$305,0)),"nicht gefunden"))</f>
        <v/>
      </c>
      <c r="F77" s="8" t="str">
        <f>IF(C77="","",IFERROR(INDEX(GÄSTELISTE!H$6:H$305,MATCH(C77&amp;" "&amp;D77,GÄSTELISTE!Q$6:Q$305,0)),""))</f>
        <v/>
      </c>
      <c r="G77" s="8"/>
    </row>
    <row r="78" spans="1:7" x14ac:dyDescent="0.25">
      <c r="A78" s="11"/>
      <c r="B78" s="11"/>
      <c r="C78" s="11"/>
      <c r="D78" s="11"/>
      <c r="E78" s="11" t="str">
        <f>IF(C78="","",IFERROR(INDEX(GÄSTELISTE!N$6:N$305,MATCH(C78&amp;" "&amp;D78,GÄSTELISTE!Q$6:Q$305,0)),"nicht gefunden"))</f>
        <v/>
      </c>
      <c r="F78" s="11" t="str">
        <f>IF(C78="","",IFERROR(INDEX(GÄSTELISTE!H$6:H$305,MATCH(C78&amp;" "&amp;D78,GÄSTELISTE!Q$6:Q$305,0)),""))</f>
        <v/>
      </c>
      <c r="G78" s="11"/>
    </row>
    <row r="79" spans="1:7" x14ac:dyDescent="0.25">
      <c r="A79" s="8"/>
      <c r="B79" s="8"/>
      <c r="C79" s="8"/>
      <c r="D79" s="8"/>
      <c r="E79" s="8" t="str">
        <f>IF(C79="","",IFERROR(INDEX(GÄSTELISTE!N$6:N$305,MATCH(C79&amp;" "&amp;D79,GÄSTELISTE!Q$6:Q$305,0)),"nicht gefunden"))</f>
        <v/>
      </c>
      <c r="F79" s="8" t="str">
        <f>IF(C79="","",IFERROR(INDEX(GÄSTELISTE!H$6:H$305,MATCH(C79&amp;" "&amp;D79,GÄSTELISTE!Q$6:Q$305,0)),""))</f>
        <v/>
      </c>
      <c r="G79" s="8"/>
    </row>
    <row r="80" spans="1:7" x14ac:dyDescent="0.25">
      <c r="A80" s="11"/>
      <c r="B80" s="11"/>
      <c r="C80" s="11"/>
      <c r="D80" s="11"/>
      <c r="E80" s="11" t="str">
        <f>IF(C80="","",IFERROR(INDEX(GÄSTELISTE!N$6:N$305,MATCH(C80&amp;" "&amp;D80,GÄSTELISTE!Q$6:Q$305,0)),"nicht gefunden"))</f>
        <v/>
      </c>
      <c r="F80" s="11" t="str">
        <f>IF(C80="","",IFERROR(INDEX(GÄSTELISTE!H$6:H$305,MATCH(C80&amp;" "&amp;D80,GÄSTELISTE!Q$6:Q$305,0)),""))</f>
        <v/>
      </c>
      <c r="G80" s="11"/>
    </row>
    <row r="81" spans="1:7" x14ac:dyDescent="0.25">
      <c r="A81" s="8"/>
      <c r="B81" s="8"/>
      <c r="C81" s="8"/>
      <c r="D81" s="8"/>
      <c r="E81" s="8" t="str">
        <f>IF(C81="","",IFERROR(INDEX(GÄSTELISTE!N$6:N$305,MATCH(C81&amp;" "&amp;D81,GÄSTELISTE!Q$6:Q$305,0)),"nicht gefunden"))</f>
        <v/>
      </c>
      <c r="F81" s="8" t="str">
        <f>IF(C81="","",IFERROR(INDEX(GÄSTELISTE!H$6:H$305,MATCH(C81&amp;" "&amp;D81,GÄSTELISTE!Q$6:Q$305,0)),""))</f>
        <v/>
      </c>
      <c r="G81" s="8"/>
    </row>
    <row r="82" spans="1:7" x14ac:dyDescent="0.25">
      <c r="A82" s="11"/>
      <c r="B82" s="11"/>
      <c r="C82" s="11"/>
      <c r="D82" s="11"/>
      <c r="E82" s="11" t="str">
        <f>IF(C82="","",IFERROR(INDEX(GÄSTELISTE!N$6:N$305,MATCH(C82&amp;" "&amp;D82,GÄSTELISTE!Q$6:Q$305,0)),"nicht gefunden"))</f>
        <v/>
      </c>
      <c r="F82" s="11" t="str">
        <f>IF(C82="","",IFERROR(INDEX(GÄSTELISTE!H$6:H$305,MATCH(C82&amp;" "&amp;D82,GÄSTELISTE!Q$6:Q$305,0)),""))</f>
        <v/>
      </c>
      <c r="G82" s="11"/>
    </row>
    <row r="83" spans="1:7" x14ac:dyDescent="0.25">
      <c r="A83" s="8"/>
      <c r="B83" s="8"/>
      <c r="C83" s="8"/>
      <c r="D83" s="8"/>
      <c r="E83" s="8" t="str">
        <f>IF(C83="","",IFERROR(INDEX(GÄSTELISTE!N$6:N$305,MATCH(C83&amp;" "&amp;D83,GÄSTELISTE!Q$6:Q$305,0)),"nicht gefunden"))</f>
        <v/>
      </c>
      <c r="F83" s="8" t="str">
        <f>IF(C83="","",IFERROR(INDEX(GÄSTELISTE!H$6:H$305,MATCH(C83&amp;" "&amp;D83,GÄSTELISTE!Q$6:Q$305,0)),""))</f>
        <v/>
      </c>
      <c r="G83" s="8"/>
    </row>
    <row r="84" spans="1:7" x14ac:dyDescent="0.25">
      <c r="A84" s="11"/>
      <c r="B84" s="11"/>
      <c r="C84" s="11"/>
      <c r="D84" s="11"/>
      <c r="E84" s="11" t="str">
        <f>IF(C84="","",IFERROR(INDEX(GÄSTELISTE!N$6:N$305,MATCH(C84&amp;" "&amp;D84,GÄSTELISTE!Q$6:Q$305,0)),"nicht gefunden"))</f>
        <v/>
      </c>
      <c r="F84" s="11" t="str">
        <f>IF(C84="","",IFERROR(INDEX(GÄSTELISTE!H$6:H$305,MATCH(C84&amp;" "&amp;D84,GÄSTELISTE!Q$6:Q$305,0)),""))</f>
        <v/>
      </c>
      <c r="G84" s="11"/>
    </row>
    <row r="85" spans="1:7" x14ac:dyDescent="0.25">
      <c r="A85" s="8"/>
      <c r="B85" s="8"/>
      <c r="C85" s="8"/>
      <c r="D85" s="8"/>
      <c r="E85" s="8" t="str">
        <f>IF(C85="","",IFERROR(INDEX(GÄSTELISTE!N$6:N$305,MATCH(C85&amp;" "&amp;D85,GÄSTELISTE!Q$6:Q$305,0)),"nicht gefunden"))</f>
        <v/>
      </c>
      <c r="F85" s="8" t="str">
        <f>IF(C85="","",IFERROR(INDEX(GÄSTELISTE!H$6:H$305,MATCH(C85&amp;" "&amp;D85,GÄSTELISTE!Q$6:Q$305,0)),""))</f>
        <v/>
      </c>
      <c r="G85" s="8"/>
    </row>
    <row r="86" spans="1:7" x14ac:dyDescent="0.25">
      <c r="A86" s="11"/>
      <c r="B86" s="11"/>
      <c r="C86" s="11"/>
      <c r="D86" s="11"/>
      <c r="E86" s="11" t="str">
        <f>IF(C86="","",IFERROR(INDEX(GÄSTELISTE!N$6:N$305,MATCH(C86&amp;" "&amp;D86,GÄSTELISTE!Q$6:Q$305,0)),"nicht gefunden"))</f>
        <v/>
      </c>
      <c r="F86" s="11" t="str">
        <f>IF(C86="","",IFERROR(INDEX(GÄSTELISTE!H$6:H$305,MATCH(C86&amp;" "&amp;D86,GÄSTELISTE!Q$6:Q$305,0)),""))</f>
        <v/>
      </c>
      <c r="G86" s="11"/>
    </row>
    <row r="87" spans="1:7" x14ac:dyDescent="0.25">
      <c r="A87" s="8"/>
      <c r="B87" s="8"/>
      <c r="C87" s="8"/>
      <c r="D87" s="8"/>
      <c r="E87" s="8" t="str">
        <f>IF(C87="","",IFERROR(INDEX(GÄSTELISTE!N$6:N$305,MATCH(C87&amp;" "&amp;D87,GÄSTELISTE!Q$6:Q$305,0)),"nicht gefunden"))</f>
        <v/>
      </c>
      <c r="F87" s="8" t="str">
        <f>IF(C87="","",IFERROR(INDEX(GÄSTELISTE!H$6:H$305,MATCH(C87&amp;" "&amp;D87,GÄSTELISTE!Q$6:Q$305,0)),""))</f>
        <v/>
      </c>
      <c r="G87" s="8"/>
    </row>
    <row r="88" spans="1:7" x14ac:dyDescent="0.25">
      <c r="A88" s="11"/>
      <c r="B88" s="11"/>
      <c r="C88" s="11"/>
      <c r="D88" s="11"/>
      <c r="E88" s="11" t="str">
        <f>IF(C88="","",IFERROR(INDEX(GÄSTELISTE!N$6:N$305,MATCH(C88&amp;" "&amp;D88,GÄSTELISTE!Q$6:Q$305,0)),"nicht gefunden"))</f>
        <v/>
      </c>
      <c r="F88" s="11" t="str">
        <f>IF(C88="","",IFERROR(INDEX(GÄSTELISTE!H$6:H$305,MATCH(C88&amp;" "&amp;D88,GÄSTELISTE!Q$6:Q$305,0)),""))</f>
        <v/>
      </c>
      <c r="G88" s="11"/>
    </row>
    <row r="89" spans="1:7" x14ac:dyDescent="0.25">
      <c r="A89" s="8"/>
      <c r="B89" s="8"/>
      <c r="C89" s="8"/>
      <c r="D89" s="8"/>
      <c r="E89" s="8" t="str">
        <f>IF(C89="","",IFERROR(INDEX(GÄSTELISTE!N$6:N$305,MATCH(C89&amp;" "&amp;D89,GÄSTELISTE!Q$6:Q$305,0)),"nicht gefunden"))</f>
        <v/>
      </c>
      <c r="F89" s="8" t="str">
        <f>IF(C89="","",IFERROR(INDEX(GÄSTELISTE!H$6:H$305,MATCH(C89&amp;" "&amp;D89,GÄSTELISTE!Q$6:Q$305,0)),""))</f>
        <v/>
      </c>
      <c r="G89" s="8"/>
    </row>
    <row r="90" spans="1:7" x14ac:dyDescent="0.25">
      <c r="A90" s="11"/>
      <c r="B90" s="11"/>
      <c r="C90" s="11"/>
      <c r="D90" s="11"/>
      <c r="E90" s="11" t="str">
        <f>IF(C90="","",IFERROR(INDEX(GÄSTELISTE!N$6:N$305,MATCH(C90&amp;" "&amp;D90,GÄSTELISTE!Q$6:Q$305,0)),"nicht gefunden"))</f>
        <v/>
      </c>
      <c r="F90" s="11" t="str">
        <f>IF(C90="","",IFERROR(INDEX(GÄSTELISTE!H$6:H$305,MATCH(C90&amp;" "&amp;D90,GÄSTELISTE!Q$6:Q$305,0)),""))</f>
        <v/>
      </c>
      <c r="G90" s="11"/>
    </row>
    <row r="91" spans="1:7" x14ac:dyDescent="0.25">
      <c r="A91" s="8"/>
      <c r="B91" s="8"/>
      <c r="C91" s="8"/>
      <c r="D91" s="8"/>
      <c r="E91" s="8" t="str">
        <f>IF(C91="","",IFERROR(INDEX(GÄSTELISTE!N$6:N$305,MATCH(C91&amp;" "&amp;D91,GÄSTELISTE!Q$6:Q$305,0)),"nicht gefunden"))</f>
        <v/>
      </c>
      <c r="F91" s="8" t="str">
        <f>IF(C91="","",IFERROR(INDEX(GÄSTELISTE!H$6:H$305,MATCH(C91&amp;" "&amp;D91,GÄSTELISTE!Q$6:Q$305,0)),""))</f>
        <v/>
      </c>
      <c r="G91" s="8"/>
    </row>
    <row r="92" spans="1:7" x14ac:dyDescent="0.25">
      <c r="A92" s="11"/>
      <c r="B92" s="11"/>
      <c r="C92" s="11"/>
      <c r="D92" s="11"/>
      <c r="E92" s="11" t="str">
        <f>IF(C92="","",IFERROR(INDEX(GÄSTELISTE!N$6:N$305,MATCH(C92&amp;" "&amp;D92,GÄSTELISTE!Q$6:Q$305,0)),"nicht gefunden"))</f>
        <v/>
      </c>
      <c r="F92" s="11" t="str">
        <f>IF(C92="","",IFERROR(INDEX(GÄSTELISTE!H$6:H$305,MATCH(C92&amp;" "&amp;D92,GÄSTELISTE!Q$6:Q$305,0)),""))</f>
        <v/>
      </c>
      <c r="G92" s="11"/>
    </row>
    <row r="93" spans="1:7" x14ac:dyDescent="0.25">
      <c r="A93" s="8"/>
      <c r="B93" s="8"/>
      <c r="C93" s="8"/>
      <c r="D93" s="8"/>
      <c r="E93" s="8" t="str">
        <f>IF(C93="","",IFERROR(INDEX(GÄSTELISTE!N$6:N$305,MATCH(C93&amp;" "&amp;D93,GÄSTELISTE!Q$6:Q$305,0)),"nicht gefunden"))</f>
        <v/>
      </c>
      <c r="F93" s="8" t="str">
        <f>IF(C93="","",IFERROR(INDEX(GÄSTELISTE!H$6:H$305,MATCH(C93&amp;" "&amp;D93,GÄSTELISTE!Q$6:Q$305,0)),""))</f>
        <v/>
      </c>
      <c r="G93" s="8"/>
    </row>
    <row r="94" spans="1:7" x14ac:dyDescent="0.25">
      <c r="A94" s="11"/>
      <c r="B94" s="11"/>
      <c r="C94" s="11"/>
      <c r="D94" s="11"/>
      <c r="E94" s="11" t="str">
        <f>IF(C94="","",IFERROR(INDEX(GÄSTELISTE!N$6:N$305,MATCH(C94&amp;" "&amp;D94,GÄSTELISTE!Q$6:Q$305,0)),"nicht gefunden"))</f>
        <v/>
      </c>
      <c r="F94" s="11" t="str">
        <f>IF(C94="","",IFERROR(INDEX(GÄSTELISTE!H$6:H$305,MATCH(C94&amp;" "&amp;D94,GÄSTELISTE!Q$6:Q$305,0)),""))</f>
        <v/>
      </c>
      <c r="G94" s="11"/>
    </row>
    <row r="95" spans="1:7" x14ac:dyDescent="0.25">
      <c r="A95" s="8"/>
      <c r="B95" s="8"/>
      <c r="C95" s="8"/>
      <c r="D95" s="8"/>
      <c r="E95" s="8" t="str">
        <f>IF(C95="","",IFERROR(INDEX(GÄSTELISTE!N$6:N$305,MATCH(C95&amp;" "&amp;D95,GÄSTELISTE!Q$6:Q$305,0)),"nicht gefunden"))</f>
        <v/>
      </c>
      <c r="F95" s="8" t="str">
        <f>IF(C95="","",IFERROR(INDEX(GÄSTELISTE!H$6:H$305,MATCH(C95&amp;" "&amp;D95,GÄSTELISTE!Q$6:Q$305,0)),""))</f>
        <v/>
      </c>
      <c r="G95" s="8"/>
    </row>
    <row r="96" spans="1:7" x14ac:dyDescent="0.25">
      <c r="A96" s="11"/>
      <c r="B96" s="11"/>
      <c r="C96" s="11"/>
      <c r="D96" s="11"/>
      <c r="E96" s="11" t="str">
        <f>IF(C96="","",IFERROR(INDEX(GÄSTELISTE!N$6:N$305,MATCH(C96&amp;" "&amp;D96,GÄSTELISTE!Q$6:Q$305,0)),"nicht gefunden"))</f>
        <v/>
      </c>
      <c r="F96" s="11" t="str">
        <f>IF(C96="","",IFERROR(INDEX(GÄSTELISTE!H$6:H$305,MATCH(C96&amp;" "&amp;D96,GÄSTELISTE!Q$6:Q$305,0)),""))</f>
        <v/>
      </c>
      <c r="G96" s="11"/>
    </row>
    <row r="97" spans="1:7" x14ac:dyDescent="0.25">
      <c r="A97" s="8"/>
      <c r="B97" s="8"/>
      <c r="C97" s="8"/>
      <c r="D97" s="8"/>
      <c r="E97" s="8" t="str">
        <f>IF(C97="","",IFERROR(INDEX(GÄSTELISTE!N$6:N$305,MATCH(C97&amp;" "&amp;D97,GÄSTELISTE!Q$6:Q$305,0)),"nicht gefunden"))</f>
        <v/>
      </c>
      <c r="F97" s="8" t="str">
        <f>IF(C97="","",IFERROR(INDEX(GÄSTELISTE!H$6:H$305,MATCH(C97&amp;" "&amp;D97,GÄSTELISTE!Q$6:Q$305,0)),""))</f>
        <v/>
      </c>
      <c r="G97" s="8"/>
    </row>
    <row r="98" spans="1:7" x14ac:dyDescent="0.25">
      <c r="A98" s="11"/>
      <c r="B98" s="11"/>
      <c r="C98" s="11"/>
      <c r="D98" s="11"/>
      <c r="E98" s="11" t="str">
        <f>IF(C98="","",IFERROR(INDEX(GÄSTELISTE!N$6:N$305,MATCH(C98&amp;" "&amp;D98,GÄSTELISTE!Q$6:Q$305,0)),"nicht gefunden"))</f>
        <v/>
      </c>
      <c r="F98" s="11" t="str">
        <f>IF(C98="","",IFERROR(INDEX(GÄSTELISTE!H$6:H$305,MATCH(C98&amp;" "&amp;D98,GÄSTELISTE!Q$6:Q$305,0)),""))</f>
        <v/>
      </c>
      <c r="G98" s="11"/>
    </row>
    <row r="99" spans="1:7" x14ac:dyDescent="0.25">
      <c r="A99" s="8"/>
      <c r="B99" s="8"/>
      <c r="C99" s="8"/>
      <c r="D99" s="8"/>
      <c r="E99" s="8" t="str">
        <f>IF(C99="","",IFERROR(INDEX(GÄSTELISTE!N$6:N$305,MATCH(C99&amp;" "&amp;D99,GÄSTELISTE!Q$6:Q$305,0)),"nicht gefunden"))</f>
        <v/>
      </c>
      <c r="F99" s="8" t="str">
        <f>IF(C99="","",IFERROR(INDEX(GÄSTELISTE!H$6:H$305,MATCH(C99&amp;" "&amp;D99,GÄSTELISTE!Q$6:Q$305,0)),""))</f>
        <v/>
      </c>
      <c r="G99" s="8"/>
    </row>
    <row r="100" spans="1:7" x14ac:dyDescent="0.25">
      <c r="A100" s="11"/>
      <c r="B100" s="11"/>
      <c r="C100" s="11"/>
      <c r="D100" s="11"/>
      <c r="E100" s="11" t="str">
        <f>IF(C100="","",IFERROR(INDEX(GÄSTELISTE!N$6:N$305,MATCH(C100&amp;" "&amp;D100,GÄSTELISTE!Q$6:Q$305,0)),"nicht gefunden"))</f>
        <v/>
      </c>
      <c r="F100" s="11" t="str">
        <f>IF(C100="","",IFERROR(INDEX(GÄSTELISTE!H$6:H$305,MATCH(C100&amp;" "&amp;D100,GÄSTELISTE!Q$6:Q$305,0)),""))</f>
        <v/>
      </c>
      <c r="G100" s="11"/>
    </row>
    <row r="101" spans="1:7" x14ac:dyDescent="0.25">
      <c r="A101" s="8"/>
      <c r="B101" s="8"/>
      <c r="C101" s="8"/>
      <c r="D101" s="8"/>
      <c r="E101" s="8" t="str">
        <f>IF(C101="","",IFERROR(INDEX(GÄSTELISTE!N$6:N$305,MATCH(C101&amp;" "&amp;D101,GÄSTELISTE!Q$6:Q$305,0)),"nicht gefunden"))</f>
        <v/>
      </c>
      <c r="F101" s="8" t="str">
        <f>IF(C101="","",IFERROR(INDEX(GÄSTELISTE!H$6:H$305,MATCH(C101&amp;" "&amp;D101,GÄSTELISTE!Q$6:Q$305,0)),""))</f>
        <v/>
      </c>
      <c r="G101" s="8"/>
    </row>
    <row r="102" spans="1:7" x14ac:dyDescent="0.25">
      <c r="A102" s="11"/>
      <c r="B102" s="11"/>
      <c r="C102" s="11"/>
      <c r="D102" s="11"/>
      <c r="E102" s="11" t="str">
        <f>IF(C102="","",IFERROR(INDEX(GÄSTELISTE!N$6:N$305,MATCH(C102&amp;" "&amp;D102,GÄSTELISTE!Q$6:Q$305,0)),"nicht gefunden"))</f>
        <v/>
      </c>
      <c r="F102" s="11" t="str">
        <f>IF(C102="","",IFERROR(INDEX(GÄSTELISTE!H$6:H$305,MATCH(C102&amp;" "&amp;D102,GÄSTELISTE!Q$6:Q$305,0)),""))</f>
        <v/>
      </c>
      <c r="G102" s="11"/>
    </row>
    <row r="103" spans="1:7" x14ac:dyDescent="0.25">
      <c r="A103" s="8"/>
      <c r="B103" s="8"/>
      <c r="C103" s="8"/>
      <c r="D103" s="8"/>
      <c r="E103" s="8" t="str">
        <f>IF(C103="","",IFERROR(INDEX(GÄSTELISTE!N$6:N$305,MATCH(C103&amp;" "&amp;D103,GÄSTELISTE!Q$6:Q$305,0)),"nicht gefunden"))</f>
        <v/>
      </c>
      <c r="F103" s="8" t="str">
        <f>IF(C103="","",IFERROR(INDEX(GÄSTELISTE!H$6:H$305,MATCH(C103&amp;" "&amp;D103,GÄSTELISTE!Q$6:Q$305,0)),""))</f>
        <v/>
      </c>
      <c r="G103" s="8"/>
    </row>
    <row r="104" spans="1:7" x14ac:dyDescent="0.25">
      <c r="A104" s="11"/>
      <c r="B104" s="11"/>
      <c r="C104" s="11"/>
      <c r="D104" s="11"/>
      <c r="E104" s="11" t="str">
        <f>IF(C104="","",IFERROR(INDEX(GÄSTELISTE!N$6:N$305,MATCH(C104&amp;" "&amp;D104,GÄSTELISTE!Q$6:Q$305,0)),"nicht gefunden"))</f>
        <v/>
      </c>
      <c r="F104" s="11" t="str">
        <f>IF(C104="","",IFERROR(INDEX(GÄSTELISTE!H$6:H$305,MATCH(C104&amp;" "&amp;D104,GÄSTELISTE!Q$6:Q$305,0)),""))</f>
        <v/>
      </c>
      <c r="G104" s="11"/>
    </row>
    <row r="105" spans="1:7" x14ac:dyDescent="0.25">
      <c r="A105" s="8"/>
      <c r="B105" s="8"/>
      <c r="C105" s="8"/>
      <c r="D105" s="8"/>
      <c r="E105" s="8" t="str">
        <f>IF(C105="","",IFERROR(INDEX(GÄSTELISTE!N$6:N$305,MATCH(C105&amp;" "&amp;D105,GÄSTELISTE!Q$6:Q$305,0)),"nicht gefunden"))</f>
        <v/>
      </c>
      <c r="F105" s="8" t="str">
        <f>IF(C105="","",IFERROR(INDEX(GÄSTELISTE!H$6:H$305,MATCH(C105&amp;" "&amp;D105,GÄSTELISTE!Q$6:Q$305,0)),""))</f>
        <v/>
      </c>
      <c r="G105" s="8"/>
    </row>
    <row r="106" spans="1:7" x14ac:dyDescent="0.25">
      <c r="A106" s="11"/>
      <c r="B106" s="11"/>
      <c r="C106" s="11"/>
      <c r="D106" s="11"/>
      <c r="E106" s="11" t="str">
        <f>IF(C106="","",IFERROR(INDEX(GÄSTELISTE!N$6:N$305,MATCH(C106&amp;" "&amp;D106,GÄSTELISTE!Q$6:Q$305,0)),"nicht gefunden"))</f>
        <v/>
      </c>
      <c r="F106" s="11" t="str">
        <f>IF(C106="","",IFERROR(INDEX(GÄSTELISTE!H$6:H$305,MATCH(C106&amp;" "&amp;D106,GÄSTELISTE!Q$6:Q$305,0)),""))</f>
        <v/>
      </c>
      <c r="G106" s="11"/>
    </row>
    <row r="107" spans="1:7" x14ac:dyDescent="0.25">
      <c r="A107" s="8"/>
      <c r="B107" s="8"/>
      <c r="C107" s="8"/>
      <c r="D107" s="8"/>
      <c r="E107" s="8" t="str">
        <f>IF(C107="","",IFERROR(INDEX(GÄSTELISTE!N$6:N$305,MATCH(C107&amp;" "&amp;D107,GÄSTELISTE!Q$6:Q$305,0)),"nicht gefunden"))</f>
        <v/>
      </c>
      <c r="F107" s="8" t="str">
        <f>IF(C107="","",IFERROR(INDEX(GÄSTELISTE!H$6:H$305,MATCH(C107&amp;" "&amp;D107,GÄSTELISTE!Q$6:Q$305,0)),""))</f>
        <v/>
      </c>
      <c r="G107" s="8"/>
    </row>
    <row r="108" spans="1:7" x14ac:dyDescent="0.25">
      <c r="A108" s="11"/>
      <c r="B108" s="11"/>
      <c r="C108" s="11"/>
      <c r="D108" s="11"/>
      <c r="E108" s="11" t="str">
        <f>IF(C108="","",IFERROR(INDEX(GÄSTELISTE!N$6:N$305,MATCH(C108&amp;" "&amp;D108,GÄSTELISTE!Q$6:Q$305,0)),"nicht gefunden"))</f>
        <v/>
      </c>
      <c r="F108" s="11" t="str">
        <f>IF(C108="","",IFERROR(INDEX(GÄSTELISTE!H$6:H$305,MATCH(C108&amp;" "&amp;D108,GÄSTELISTE!Q$6:Q$305,0)),""))</f>
        <v/>
      </c>
      <c r="G108" s="11"/>
    </row>
    <row r="109" spans="1:7" x14ac:dyDescent="0.25">
      <c r="A109" s="8"/>
      <c r="B109" s="8"/>
      <c r="C109" s="8"/>
      <c r="D109" s="8"/>
      <c r="E109" s="8" t="str">
        <f>IF(C109="","",IFERROR(INDEX(GÄSTELISTE!N$6:N$305,MATCH(C109&amp;" "&amp;D109,GÄSTELISTE!Q$6:Q$305,0)),"nicht gefunden"))</f>
        <v/>
      </c>
      <c r="F109" s="8" t="str">
        <f>IF(C109="","",IFERROR(INDEX(GÄSTELISTE!H$6:H$305,MATCH(C109&amp;" "&amp;D109,GÄSTELISTE!Q$6:Q$305,0)),""))</f>
        <v/>
      </c>
      <c r="G109" s="8"/>
    </row>
    <row r="110" spans="1:7" x14ac:dyDescent="0.25">
      <c r="A110" s="11"/>
      <c r="B110" s="11"/>
      <c r="C110" s="11"/>
      <c r="D110" s="11"/>
      <c r="E110" s="11" t="str">
        <f>IF(C110="","",IFERROR(INDEX(GÄSTELISTE!N$6:N$305,MATCH(C110&amp;" "&amp;D110,GÄSTELISTE!Q$6:Q$305,0)),"nicht gefunden"))</f>
        <v/>
      </c>
      <c r="F110" s="11" t="str">
        <f>IF(C110="","",IFERROR(INDEX(GÄSTELISTE!H$6:H$305,MATCH(C110&amp;" "&amp;D110,GÄSTELISTE!Q$6:Q$305,0)),""))</f>
        <v/>
      </c>
      <c r="G110" s="11"/>
    </row>
    <row r="111" spans="1:7" x14ac:dyDescent="0.25">
      <c r="A111" s="8"/>
      <c r="B111" s="8"/>
      <c r="C111" s="8"/>
      <c r="D111" s="8"/>
      <c r="E111" s="8" t="str">
        <f>IF(C111="","",IFERROR(INDEX(GÄSTELISTE!N$6:N$305,MATCH(C111&amp;" "&amp;D111,GÄSTELISTE!Q$6:Q$305,0)),"nicht gefunden"))</f>
        <v/>
      </c>
      <c r="F111" s="8" t="str">
        <f>IF(C111="","",IFERROR(INDEX(GÄSTELISTE!H$6:H$305,MATCH(C111&amp;" "&amp;D111,GÄSTELISTE!Q$6:Q$305,0)),""))</f>
        <v/>
      </c>
      <c r="G111" s="8"/>
    </row>
    <row r="112" spans="1:7" x14ac:dyDescent="0.25">
      <c r="A112" s="11"/>
      <c r="B112" s="11"/>
      <c r="C112" s="11"/>
      <c r="D112" s="11"/>
      <c r="E112" s="11" t="str">
        <f>IF(C112="","",IFERROR(INDEX(GÄSTELISTE!N$6:N$305,MATCH(C112&amp;" "&amp;D112,GÄSTELISTE!Q$6:Q$305,0)),"nicht gefunden"))</f>
        <v/>
      </c>
      <c r="F112" s="11" t="str">
        <f>IF(C112="","",IFERROR(INDEX(GÄSTELISTE!H$6:H$305,MATCH(C112&amp;" "&amp;D112,GÄSTELISTE!Q$6:Q$305,0)),""))</f>
        <v/>
      </c>
      <c r="G112" s="11"/>
    </row>
    <row r="113" spans="1:7" x14ac:dyDescent="0.25">
      <c r="A113" s="8"/>
      <c r="B113" s="8"/>
      <c r="C113" s="8"/>
      <c r="D113" s="8"/>
      <c r="E113" s="8" t="str">
        <f>IF(C113="","",IFERROR(INDEX(GÄSTELISTE!N$6:N$305,MATCH(C113&amp;" "&amp;D113,GÄSTELISTE!Q$6:Q$305,0)),"nicht gefunden"))</f>
        <v/>
      </c>
      <c r="F113" s="8" t="str">
        <f>IF(C113="","",IFERROR(INDEX(GÄSTELISTE!H$6:H$305,MATCH(C113&amp;" "&amp;D113,GÄSTELISTE!Q$6:Q$305,0)),""))</f>
        <v/>
      </c>
      <c r="G113" s="8"/>
    </row>
    <row r="114" spans="1:7" x14ac:dyDescent="0.25">
      <c r="A114" s="11"/>
      <c r="B114" s="11"/>
      <c r="C114" s="11"/>
      <c r="D114" s="11"/>
      <c r="E114" s="11" t="str">
        <f>IF(C114="","",IFERROR(INDEX(GÄSTELISTE!N$6:N$305,MATCH(C114&amp;" "&amp;D114,GÄSTELISTE!Q$6:Q$305,0)),"nicht gefunden"))</f>
        <v/>
      </c>
      <c r="F114" s="11" t="str">
        <f>IF(C114="","",IFERROR(INDEX(GÄSTELISTE!H$6:H$305,MATCH(C114&amp;" "&amp;D114,GÄSTELISTE!Q$6:Q$305,0)),""))</f>
        <v/>
      </c>
      <c r="G114" s="11"/>
    </row>
    <row r="115" spans="1:7" x14ac:dyDescent="0.25">
      <c r="A115" s="8"/>
      <c r="B115" s="8"/>
      <c r="C115" s="8"/>
      <c r="D115" s="8"/>
      <c r="E115" s="8" t="str">
        <f>IF(C115="","",IFERROR(INDEX(GÄSTELISTE!N$6:N$305,MATCH(C115&amp;" "&amp;D115,GÄSTELISTE!Q$6:Q$305,0)),"nicht gefunden"))</f>
        <v/>
      </c>
      <c r="F115" s="8" t="str">
        <f>IF(C115="","",IFERROR(INDEX(GÄSTELISTE!H$6:H$305,MATCH(C115&amp;" "&amp;D115,GÄSTELISTE!Q$6:Q$305,0)),""))</f>
        <v/>
      </c>
      <c r="G115" s="8"/>
    </row>
    <row r="116" spans="1:7" x14ac:dyDescent="0.25">
      <c r="A116" s="11"/>
      <c r="B116" s="11"/>
      <c r="C116" s="11"/>
      <c r="D116" s="11"/>
      <c r="E116" s="11" t="str">
        <f>IF(C116="","",IFERROR(INDEX(GÄSTELISTE!N$6:N$305,MATCH(C116&amp;" "&amp;D116,GÄSTELISTE!Q$6:Q$305,0)),"nicht gefunden"))</f>
        <v/>
      </c>
      <c r="F116" s="11" t="str">
        <f>IF(C116="","",IFERROR(INDEX(GÄSTELISTE!H$6:H$305,MATCH(C116&amp;" "&amp;D116,GÄSTELISTE!Q$6:Q$305,0)),""))</f>
        <v/>
      </c>
      <c r="G116" s="11"/>
    </row>
    <row r="117" spans="1:7" x14ac:dyDescent="0.25">
      <c r="A117" s="8"/>
      <c r="B117" s="8"/>
      <c r="C117" s="8"/>
      <c r="D117" s="8"/>
      <c r="E117" s="8" t="str">
        <f>IF(C117="","",IFERROR(INDEX(GÄSTELISTE!N$6:N$305,MATCH(C117&amp;" "&amp;D117,GÄSTELISTE!Q$6:Q$305,0)),"nicht gefunden"))</f>
        <v/>
      </c>
      <c r="F117" s="8" t="str">
        <f>IF(C117="","",IFERROR(INDEX(GÄSTELISTE!H$6:H$305,MATCH(C117&amp;" "&amp;D117,GÄSTELISTE!Q$6:Q$305,0)),""))</f>
        <v/>
      </c>
      <c r="G117" s="8"/>
    </row>
    <row r="118" spans="1:7" x14ac:dyDescent="0.25">
      <c r="A118" s="11"/>
      <c r="B118" s="11"/>
      <c r="C118" s="11"/>
      <c r="D118" s="11"/>
      <c r="E118" s="11" t="str">
        <f>IF(C118="","",IFERROR(INDEX(GÄSTELISTE!N$6:N$305,MATCH(C118&amp;" "&amp;D118,GÄSTELISTE!Q$6:Q$305,0)),"nicht gefunden"))</f>
        <v/>
      </c>
      <c r="F118" s="11" t="str">
        <f>IF(C118="","",IFERROR(INDEX(GÄSTELISTE!H$6:H$305,MATCH(C118&amp;" "&amp;D118,GÄSTELISTE!Q$6:Q$305,0)),""))</f>
        <v/>
      </c>
      <c r="G118" s="11"/>
    </row>
    <row r="119" spans="1:7" x14ac:dyDescent="0.25">
      <c r="A119" s="8"/>
      <c r="B119" s="8"/>
      <c r="C119" s="8"/>
      <c r="D119" s="8"/>
      <c r="E119" s="8" t="str">
        <f>IF(C119="","",IFERROR(INDEX(GÄSTELISTE!N$6:N$305,MATCH(C119&amp;" "&amp;D119,GÄSTELISTE!Q$6:Q$305,0)),"nicht gefunden"))</f>
        <v/>
      </c>
      <c r="F119" s="8" t="str">
        <f>IF(C119="","",IFERROR(INDEX(GÄSTELISTE!H$6:H$305,MATCH(C119&amp;" "&amp;D119,GÄSTELISTE!Q$6:Q$305,0)),""))</f>
        <v/>
      </c>
      <c r="G119" s="8"/>
    </row>
    <row r="120" spans="1:7" x14ac:dyDescent="0.25">
      <c r="A120" s="11"/>
      <c r="B120" s="11"/>
      <c r="C120" s="11"/>
      <c r="D120" s="11"/>
      <c r="E120" s="11" t="str">
        <f>IF(C120="","",IFERROR(INDEX(GÄSTELISTE!N$6:N$305,MATCH(C120&amp;" "&amp;D120,GÄSTELISTE!Q$6:Q$305,0)),"nicht gefunden"))</f>
        <v/>
      </c>
      <c r="F120" s="11" t="str">
        <f>IF(C120="","",IFERROR(INDEX(GÄSTELISTE!H$6:H$305,MATCH(C120&amp;" "&amp;D120,GÄSTELISTE!Q$6:Q$305,0)),""))</f>
        <v/>
      </c>
      <c r="G120" s="11"/>
    </row>
    <row r="121" spans="1:7" x14ac:dyDescent="0.25">
      <c r="A121" s="8"/>
      <c r="B121" s="8"/>
      <c r="C121" s="8"/>
      <c r="D121" s="8"/>
      <c r="E121" s="8" t="str">
        <f>IF(C121="","",IFERROR(INDEX(GÄSTELISTE!N$6:N$305,MATCH(C121&amp;" "&amp;D121,GÄSTELISTE!Q$6:Q$305,0)),"nicht gefunden"))</f>
        <v/>
      </c>
      <c r="F121" s="8" t="str">
        <f>IF(C121="","",IFERROR(INDEX(GÄSTELISTE!H$6:H$305,MATCH(C121&amp;" "&amp;D121,GÄSTELISTE!Q$6:Q$305,0)),""))</f>
        <v/>
      </c>
      <c r="G121" s="8"/>
    </row>
    <row r="122" spans="1:7" x14ac:dyDescent="0.25">
      <c r="A122" s="11"/>
      <c r="B122" s="11"/>
      <c r="C122" s="11"/>
      <c r="D122" s="11"/>
      <c r="E122" s="11" t="str">
        <f>IF(C122="","",IFERROR(INDEX(GÄSTELISTE!N$6:N$305,MATCH(C122&amp;" "&amp;D122,GÄSTELISTE!Q$6:Q$305,0)),"nicht gefunden"))</f>
        <v/>
      </c>
      <c r="F122" s="11" t="str">
        <f>IF(C122="","",IFERROR(INDEX(GÄSTELISTE!H$6:H$305,MATCH(C122&amp;" "&amp;D122,GÄSTELISTE!Q$6:Q$305,0)),""))</f>
        <v/>
      </c>
      <c r="G122" s="11"/>
    </row>
    <row r="123" spans="1:7" x14ac:dyDescent="0.25">
      <c r="A123" s="8"/>
      <c r="B123" s="8"/>
      <c r="C123" s="8"/>
      <c r="D123" s="8"/>
      <c r="E123" s="8" t="str">
        <f>IF(C123="","",IFERROR(INDEX(GÄSTELISTE!N$6:N$305,MATCH(C123&amp;" "&amp;D123,GÄSTELISTE!Q$6:Q$305,0)),"nicht gefunden"))</f>
        <v/>
      </c>
      <c r="F123" s="8" t="str">
        <f>IF(C123="","",IFERROR(INDEX(GÄSTELISTE!H$6:H$305,MATCH(C123&amp;" "&amp;D123,GÄSTELISTE!Q$6:Q$305,0)),""))</f>
        <v/>
      </c>
      <c r="G123" s="8"/>
    </row>
    <row r="124" spans="1:7" x14ac:dyDescent="0.25">
      <c r="A124" s="11"/>
      <c r="B124" s="11"/>
      <c r="C124" s="11"/>
      <c r="D124" s="11"/>
      <c r="E124" s="11" t="str">
        <f>IF(C124="","",IFERROR(INDEX(GÄSTELISTE!N$6:N$305,MATCH(C124&amp;" "&amp;D124,GÄSTELISTE!Q$6:Q$305,0)),"nicht gefunden"))</f>
        <v/>
      </c>
      <c r="F124" s="11" t="str">
        <f>IF(C124="","",IFERROR(INDEX(GÄSTELISTE!H$6:H$305,MATCH(C124&amp;" "&amp;D124,GÄSTELISTE!Q$6:Q$305,0)),""))</f>
        <v/>
      </c>
      <c r="G124" s="11"/>
    </row>
    <row r="125" spans="1:7" x14ac:dyDescent="0.25">
      <c r="A125" s="8"/>
      <c r="B125" s="8"/>
      <c r="C125" s="8"/>
      <c r="D125" s="8"/>
      <c r="E125" s="8" t="str">
        <f>IF(C125="","",IFERROR(INDEX(GÄSTELISTE!N$6:N$305,MATCH(C125&amp;" "&amp;D125,GÄSTELISTE!Q$6:Q$305,0)),"nicht gefunden"))</f>
        <v/>
      </c>
      <c r="F125" s="8" t="str">
        <f>IF(C125="","",IFERROR(INDEX(GÄSTELISTE!H$6:H$305,MATCH(C125&amp;" "&amp;D125,GÄSTELISTE!Q$6:Q$305,0)),""))</f>
        <v/>
      </c>
      <c r="G125" s="8"/>
    </row>
    <row r="126" spans="1:7" x14ac:dyDescent="0.25">
      <c r="A126" s="11"/>
      <c r="B126" s="11"/>
      <c r="C126" s="11"/>
      <c r="D126" s="11"/>
      <c r="E126" s="11" t="str">
        <f>IF(C126="","",IFERROR(INDEX(GÄSTELISTE!N$6:N$305,MATCH(C126&amp;" "&amp;D126,GÄSTELISTE!Q$6:Q$305,0)),"nicht gefunden"))</f>
        <v/>
      </c>
      <c r="F126" s="11" t="str">
        <f>IF(C126="","",IFERROR(INDEX(GÄSTELISTE!H$6:H$305,MATCH(C126&amp;" "&amp;D126,GÄSTELISTE!Q$6:Q$305,0)),""))</f>
        <v/>
      </c>
      <c r="G126" s="11"/>
    </row>
    <row r="127" spans="1:7" x14ac:dyDescent="0.25">
      <c r="A127" s="8"/>
      <c r="B127" s="8"/>
      <c r="C127" s="8"/>
      <c r="D127" s="8"/>
      <c r="E127" s="8" t="str">
        <f>IF(C127="","",IFERROR(INDEX(GÄSTELISTE!N$6:N$305,MATCH(C127&amp;" "&amp;D127,GÄSTELISTE!Q$6:Q$305,0)),"nicht gefunden"))</f>
        <v/>
      </c>
      <c r="F127" s="8" t="str">
        <f>IF(C127="","",IFERROR(INDEX(GÄSTELISTE!H$6:H$305,MATCH(C127&amp;" "&amp;D127,GÄSTELISTE!Q$6:Q$305,0)),""))</f>
        <v/>
      </c>
      <c r="G127" s="8"/>
    </row>
    <row r="128" spans="1:7" x14ac:dyDescent="0.25">
      <c r="A128" s="11"/>
      <c r="B128" s="11"/>
      <c r="C128" s="11"/>
      <c r="D128" s="11"/>
      <c r="E128" s="11" t="str">
        <f>IF(C128="","",IFERROR(INDEX(GÄSTELISTE!N$6:N$305,MATCH(C128&amp;" "&amp;D128,GÄSTELISTE!Q$6:Q$305,0)),"nicht gefunden"))</f>
        <v/>
      </c>
      <c r="F128" s="11" t="str">
        <f>IF(C128="","",IFERROR(INDEX(GÄSTELISTE!H$6:H$305,MATCH(C128&amp;" "&amp;D128,GÄSTELISTE!Q$6:Q$305,0)),""))</f>
        <v/>
      </c>
      <c r="G128" s="11"/>
    </row>
    <row r="129" spans="1:7" x14ac:dyDescent="0.25">
      <c r="A129" s="8"/>
      <c r="B129" s="8"/>
      <c r="C129" s="8"/>
      <c r="D129" s="8"/>
      <c r="E129" s="8" t="str">
        <f>IF(C129="","",IFERROR(INDEX(GÄSTELISTE!N$6:N$305,MATCH(C129&amp;" "&amp;D129,GÄSTELISTE!Q$6:Q$305,0)),"nicht gefunden"))</f>
        <v/>
      </c>
      <c r="F129" s="8" t="str">
        <f>IF(C129="","",IFERROR(INDEX(GÄSTELISTE!H$6:H$305,MATCH(C129&amp;" "&amp;D129,GÄSTELISTE!Q$6:Q$305,0)),""))</f>
        <v/>
      </c>
      <c r="G129" s="8"/>
    </row>
    <row r="130" spans="1:7" x14ac:dyDescent="0.25">
      <c r="A130" s="11"/>
      <c r="B130" s="11"/>
      <c r="C130" s="11"/>
      <c r="D130" s="11"/>
      <c r="E130" s="11" t="str">
        <f>IF(C130="","",IFERROR(INDEX(GÄSTELISTE!N$6:N$305,MATCH(C130&amp;" "&amp;D130,GÄSTELISTE!Q$6:Q$305,0)),"nicht gefunden"))</f>
        <v/>
      </c>
      <c r="F130" s="11" t="str">
        <f>IF(C130="","",IFERROR(INDEX(GÄSTELISTE!H$6:H$305,MATCH(C130&amp;" "&amp;D130,GÄSTELISTE!Q$6:Q$305,0)),""))</f>
        <v/>
      </c>
      <c r="G130" s="11"/>
    </row>
    <row r="131" spans="1:7" x14ac:dyDescent="0.25">
      <c r="A131" s="8"/>
      <c r="B131" s="8"/>
      <c r="C131" s="8"/>
      <c r="D131" s="8"/>
      <c r="E131" s="8" t="str">
        <f>IF(C131="","",IFERROR(INDEX(GÄSTELISTE!N$6:N$305,MATCH(C131&amp;" "&amp;D131,GÄSTELISTE!Q$6:Q$305,0)),"nicht gefunden"))</f>
        <v/>
      </c>
      <c r="F131" s="8" t="str">
        <f>IF(C131="","",IFERROR(INDEX(GÄSTELISTE!H$6:H$305,MATCH(C131&amp;" "&amp;D131,GÄSTELISTE!Q$6:Q$305,0)),""))</f>
        <v/>
      </c>
      <c r="G131" s="8"/>
    </row>
    <row r="132" spans="1:7" x14ac:dyDescent="0.25">
      <c r="A132" s="11"/>
      <c r="B132" s="11"/>
      <c r="C132" s="11"/>
      <c r="D132" s="11"/>
      <c r="E132" s="11" t="str">
        <f>IF(C132="","",IFERROR(INDEX(GÄSTELISTE!N$6:N$305,MATCH(C132&amp;" "&amp;D132,GÄSTELISTE!Q$6:Q$305,0)),"nicht gefunden"))</f>
        <v/>
      </c>
      <c r="F132" s="11" t="str">
        <f>IF(C132="","",IFERROR(INDEX(GÄSTELISTE!H$6:H$305,MATCH(C132&amp;" "&amp;D132,GÄSTELISTE!Q$6:Q$305,0)),""))</f>
        <v/>
      </c>
      <c r="G132" s="11"/>
    </row>
    <row r="133" spans="1:7" x14ac:dyDescent="0.25">
      <c r="A133" s="8"/>
      <c r="B133" s="8"/>
      <c r="C133" s="8"/>
      <c r="D133" s="8"/>
      <c r="E133" s="8" t="str">
        <f>IF(C133="","",IFERROR(INDEX(GÄSTELISTE!N$6:N$305,MATCH(C133&amp;" "&amp;D133,GÄSTELISTE!Q$6:Q$305,0)),"nicht gefunden"))</f>
        <v/>
      </c>
      <c r="F133" s="8" t="str">
        <f>IF(C133="","",IFERROR(INDEX(GÄSTELISTE!H$6:H$305,MATCH(C133&amp;" "&amp;D133,GÄSTELISTE!Q$6:Q$305,0)),""))</f>
        <v/>
      </c>
      <c r="G133" s="8"/>
    </row>
    <row r="134" spans="1:7" x14ac:dyDescent="0.25">
      <c r="A134" s="11"/>
      <c r="B134" s="11"/>
      <c r="C134" s="11"/>
      <c r="D134" s="11"/>
      <c r="E134" s="11" t="str">
        <f>IF(C134="","",IFERROR(INDEX(GÄSTELISTE!N$6:N$305,MATCH(C134&amp;" "&amp;D134,GÄSTELISTE!Q$6:Q$305,0)),"nicht gefunden"))</f>
        <v/>
      </c>
      <c r="F134" s="11" t="str">
        <f>IF(C134="","",IFERROR(INDEX(GÄSTELISTE!H$6:H$305,MATCH(C134&amp;" "&amp;D134,GÄSTELISTE!Q$6:Q$305,0)),""))</f>
        <v/>
      </c>
      <c r="G134" s="11"/>
    </row>
    <row r="135" spans="1:7" x14ac:dyDescent="0.25">
      <c r="A135" s="8"/>
      <c r="B135" s="8"/>
      <c r="C135" s="8"/>
      <c r="D135" s="8"/>
      <c r="E135" s="8" t="str">
        <f>IF(C135="","",IFERROR(INDEX(GÄSTELISTE!N$6:N$305,MATCH(C135&amp;" "&amp;D135,GÄSTELISTE!Q$6:Q$305,0)),"nicht gefunden"))</f>
        <v/>
      </c>
      <c r="F135" s="8" t="str">
        <f>IF(C135="","",IFERROR(INDEX(GÄSTELISTE!H$6:H$305,MATCH(C135&amp;" "&amp;D135,GÄSTELISTE!Q$6:Q$305,0)),""))</f>
        <v/>
      </c>
      <c r="G135" s="8"/>
    </row>
    <row r="136" spans="1:7" x14ac:dyDescent="0.25">
      <c r="A136" s="11"/>
      <c r="B136" s="11"/>
      <c r="C136" s="11"/>
      <c r="D136" s="11"/>
      <c r="E136" s="11" t="str">
        <f>IF(C136="","",IFERROR(INDEX(GÄSTELISTE!N$6:N$305,MATCH(C136&amp;" "&amp;D136,GÄSTELISTE!Q$6:Q$305,0)),"nicht gefunden"))</f>
        <v/>
      </c>
      <c r="F136" s="11" t="str">
        <f>IF(C136="","",IFERROR(INDEX(GÄSTELISTE!H$6:H$305,MATCH(C136&amp;" "&amp;D136,GÄSTELISTE!Q$6:Q$305,0)),""))</f>
        <v/>
      </c>
      <c r="G136" s="11"/>
    </row>
    <row r="137" spans="1:7" x14ac:dyDescent="0.25">
      <c r="A137" s="8"/>
      <c r="B137" s="8"/>
      <c r="C137" s="8"/>
      <c r="D137" s="8"/>
      <c r="E137" s="8" t="str">
        <f>IF(C137="","",IFERROR(INDEX(GÄSTELISTE!N$6:N$305,MATCH(C137&amp;" "&amp;D137,GÄSTELISTE!Q$6:Q$305,0)),"nicht gefunden"))</f>
        <v/>
      </c>
      <c r="F137" s="8" t="str">
        <f>IF(C137="","",IFERROR(INDEX(GÄSTELISTE!H$6:H$305,MATCH(C137&amp;" "&amp;D137,GÄSTELISTE!Q$6:Q$305,0)),""))</f>
        <v/>
      </c>
      <c r="G137" s="8"/>
    </row>
    <row r="138" spans="1:7" x14ac:dyDescent="0.25">
      <c r="A138" s="11"/>
      <c r="B138" s="11"/>
      <c r="C138" s="11"/>
      <c r="D138" s="11"/>
      <c r="E138" s="11" t="str">
        <f>IF(C138="","",IFERROR(INDEX(GÄSTELISTE!N$6:N$305,MATCH(C138&amp;" "&amp;D138,GÄSTELISTE!Q$6:Q$305,0)),"nicht gefunden"))</f>
        <v/>
      </c>
      <c r="F138" s="11" t="str">
        <f>IF(C138="","",IFERROR(INDEX(GÄSTELISTE!H$6:H$305,MATCH(C138&amp;" "&amp;D138,GÄSTELISTE!Q$6:Q$305,0)),""))</f>
        <v/>
      </c>
      <c r="G138" s="11"/>
    </row>
    <row r="139" spans="1:7" x14ac:dyDescent="0.25">
      <c r="A139" s="8"/>
      <c r="B139" s="8"/>
      <c r="C139" s="8"/>
      <c r="D139" s="8"/>
      <c r="E139" s="8" t="str">
        <f>IF(C139="","",IFERROR(INDEX(GÄSTELISTE!N$6:N$305,MATCH(C139&amp;" "&amp;D139,GÄSTELISTE!Q$6:Q$305,0)),"nicht gefunden"))</f>
        <v/>
      </c>
      <c r="F139" s="8" t="str">
        <f>IF(C139="","",IFERROR(INDEX(GÄSTELISTE!H$6:H$305,MATCH(C139&amp;" "&amp;D139,GÄSTELISTE!Q$6:Q$305,0)),""))</f>
        <v/>
      </c>
      <c r="G139" s="8"/>
    </row>
    <row r="140" spans="1:7" x14ac:dyDescent="0.25">
      <c r="A140" s="11"/>
      <c r="B140" s="11"/>
      <c r="C140" s="11"/>
      <c r="D140" s="11"/>
      <c r="E140" s="11" t="str">
        <f>IF(C140="","",IFERROR(INDEX(GÄSTELISTE!N$6:N$305,MATCH(C140&amp;" "&amp;D140,GÄSTELISTE!Q$6:Q$305,0)),"nicht gefunden"))</f>
        <v/>
      </c>
      <c r="F140" s="11" t="str">
        <f>IF(C140="","",IFERROR(INDEX(GÄSTELISTE!H$6:H$305,MATCH(C140&amp;" "&amp;D140,GÄSTELISTE!Q$6:Q$305,0)),""))</f>
        <v/>
      </c>
      <c r="G140" s="11"/>
    </row>
    <row r="141" spans="1:7" x14ac:dyDescent="0.25">
      <c r="A141" s="8"/>
      <c r="B141" s="8"/>
      <c r="C141" s="8"/>
      <c r="D141" s="8"/>
      <c r="E141" s="8" t="str">
        <f>IF(C141="","",IFERROR(INDEX(GÄSTELISTE!N$6:N$305,MATCH(C141&amp;" "&amp;D141,GÄSTELISTE!Q$6:Q$305,0)),"nicht gefunden"))</f>
        <v/>
      </c>
      <c r="F141" s="8" t="str">
        <f>IF(C141="","",IFERROR(INDEX(GÄSTELISTE!H$6:H$305,MATCH(C141&amp;" "&amp;D141,GÄSTELISTE!Q$6:Q$305,0)),""))</f>
        <v/>
      </c>
      <c r="G141" s="8"/>
    </row>
    <row r="142" spans="1:7" x14ac:dyDescent="0.25">
      <c r="A142" s="11"/>
      <c r="B142" s="11"/>
      <c r="C142" s="11"/>
      <c r="D142" s="11"/>
      <c r="E142" s="11" t="str">
        <f>IF(C142="","",IFERROR(INDEX(GÄSTELISTE!N$6:N$305,MATCH(C142&amp;" "&amp;D142,GÄSTELISTE!Q$6:Q$305,0)),"nicht gefunden"))</f>
        <v/>
      </c>
      <c r="F142" s="11" t="str">
        <f>IF(C142="","",IFERROR(INDEX(GÄSTELISTE!H$6:H$305,MATCH(C142&amp;" "&amp;D142,GÄSTELISTE!Q$6:Q$305,0)),""))</f>
        <v/>
      </c>
      <c r="G142" s="11"/>
    </row>
    <row r="143" spans="1:7" x14ac:dyDescent="0.25">
      <c r="A143" s="8"/>
      <c r="B143" s="8"/>
      <c r="C143" s="8"/>
      <c r="D143" s="8"/>
      <c r="E143" s="8" t="str">
        <f>IF(C143="","",IFERROR(INDEX(GÄSTELISTE!N$6:N$305,MATCH(C143&amp;" "&amp;D143,GÄSTELISTE!Q$6:Q$305,0)),"nicht gefunden"))</f>
        <v/>
      </c>
      <c r="F143" s="8" t="str">
        <f>IF(C143="","",IFERROR(INDEX(GÄSTELISTE!H$6:H$305,MATCH(C143&amp;" "&amp;D143,GÄSTELISTE!Q$6:Q$305,0)),""))</f>
        <v/>
      </c>
      <c r="G143" s="8"/>
    </row>
    <row r="144" spans="1:7" x14ac:dyDescent="0.25">
      <c r="A144" s="11"/>
      <c r="B144" s="11"/>
      <c r="C144" s="11"/>
      <c r="D144" s="11"/>
      <c r="E144" s="11" t="str">
        <f>IF(C144="","",IFERROR(INDEX(GÄSTELISTE!N$6:N$305,MATCH(C144&amp;" "&amp;D144,GÄSTELISTE!Q$6:Q$305,0)),"nicht gefunden"))</f>
        <v/>
      </c>
      <c r="F144" s="11" t="str">
        <f>IF(C144="","",IFERROR(INDEX(GÄSTELISTE!H$6:H$305,MATCH(C144&amp;" "&amp;D144,GÄSTELISTE!Q$6:Q$305,0)),""))</f>
        <v/>
      </c>
      <c r="G144" s="11"/>
    </row>
    <row r="145" spans="1:7" x14ac:dyDescent="0.25">
      <c r="A145" s="8"/>
      <c r="B145" s="8"/>
      <c r="C145" s="8"/>
      <c r="D145" s="8"/>
      <c r="E145" s="8" t="str">
        <f>IF(C145="","",IFERROR(INDEX(GÄSTELISTE!N$6:N$305,MATCH(C145&amp;" "&amp;D145,GÄSTELISTE!Q$6:Q$305,0)),"nicht gefunden"))</f>
        <v/>
      </c>
      <c r="F145" s="8" t="str">
        <f>IF(C145="","",IFERROR(INDEX(GÄSTELISTE!H$6:H$305,MATCH(C145&amp;" "&amp;D145,GÄSTELISTE!Q$6:Q$305,0)),""))</f>
        <v/>
      </c>
      <c r="G145" s="8"/>
    </row>
    <row r="146" spans="1:7" x14ac:dyDescent="0.25">
      <c r="A146" s="11"/>
      <c r="B146" s="11"/>
      <c r="C146" s="11"/>
      <c r="D146" s="11"/>
      <c r="E146" s="11" t="str">
        <f>IF(C146="","",IFERROR(INDEX(GÄSTELISTE!N$6:N$305,MATCH(C146&amp;" "&amp;D146,GÄSTELISTE!Q$6:Q$305,0)),"nicht gefunden"))</f>
        <v/>
      </c>
      <c r="F146" s="11" t="str">
        <f>IF(C146="","",IFERROR(INDEX(GÄSTELISTE!H$6:H$305,MATCH(C146&amp;" "&amp;D146,GÄSTELISTE!Q$6:Q$305,0)),""))</f>
        <v/>
      </c>
      <c r="G146" s="11"/>
    </row>
    <row r="147" spans="1:7" x14ac:dyDescent="0.25">
      <c r="A147" s="8"/>
      <c r="B147" s="8"/>
      <c r="C147" s="8"/>
      <c r="D147" s="8"/>
      <c r="E147" s="8" t="str">
        <f>IF(C147="","",IFERROR(INDEX(GÄSTELISTE!N$6:N$305,MATCH(C147&amp;" "&amp;D147,GÄSTELISTE!Q$6:Q$305,0)),"nicht gefunden"))</f>
        <v/>
      </c>
      <c r="F147" s="8" t="str">
        <f>IF(C147="","",IFERROR(INDEX(GÄSTELISTE!H$6:H$305,MATCH(C147&amp;" "&amp;D147,GÄSTELISTE!Q$6:Q$305,0)),""))</f>
        <v/>
      </c>
      <c r="G147" s="8"/>
    </row>
    <row r="148" spans="1:7" x14ac:dyDescent="0.25">
      <c r="A148" s="11"/>
      <c r="B148" s="11"/>
      <c r="C148" s="11"/>
      <c r="D148" s="11"/>
      <c r="E148" s="11" t="str">
        <f>IF(C148="","",IFERROR(INDEX(GÄSTELISTE!N$6:N$305,MATCH(C148&amp;" "&amp;D148,GÄSTELISTE!Q$6:Q$305,0)),"nicht gefunden"))</f>
        <v/>
      </c>
      <c r="F148" s="11" t="str">
        <f>IF(C148="","",IFERROR(INDEX(GÄSTELISTE!H$6:H$305,MATCH(C148&amp;" "&amp;D148,GÄSTELISTE!Q$6:Q$305,0)),""))</f>
        <v/>
      </c>
      <c r="G148" s="11"/>
    </row>
    <row r="149" spans="1:7" x14ac:dyDescent="0.25">
      <c r="A149" s="8"/>
      <c r="B149" s="8"/>
      <c r="C149" s="8"/>
      <c r="D149" s="8"/>
      <c r="E149" s="8" t="str">
        <f>IF(C149="","",IFERROR(INDEX(GÄSTELISTE!N$6:N$305,MATCH(C149&amp;" "&amp;D149,GÄSTELISTE!Q$6:Q$305,0)),"nicht gefunden"))</f>
        <v/>
      </c>
      <c r="F149" s="8" t="str">
        <f>IF(C149="","",IFERROR(INDEX(GÄSTELISTE!H$6:H$305,MATCH(C149&amp;" "&amp;D149,GÄSTELISTE!Q$6:Q$305,0)),""))</f>
        <v/>
      </c>
      <c r="G149" s="8"/>
    </row>
    <row r="150" spans="1:7" x14ac:dyDescent="0.25">
      <c r="A150" s="11"/>
      <c r="B150" s="11"/>
      <c r="C150" s="11"/>
      <c r="D150" s="11"/>
      <c r="E150" s="11" t="str">
        <f>IF(C150="","",IFERROR(INDEX(GÄSTELISTE!N$6:N$305,MATCH(C150&amp;" "&amp;D150,GÄSTELISTE!Q$6:Q$305,0)),"nicht gefunden"))</f>
        <v/>
      </c>
      <c r="F150" s="11" t="str">
        <f>IF(C150="","",IFERROR(INDEX(GÄSTELISTE!H$6:H$305,MATCH(C150&amp;" "&amp;D150,GÄSTELISTE!Q$6:Q$305,0)),""))</f>
        <v/>
      </c>
      <c r="G150" s="11"/>
    </row>
    <row r="151" spans="1:7" x14ac:dyDescent="0.25">
      <c r="A151" s="8"/>
      <c r="B151" s="8"/>
      <c r="C151" s="8"/>
      <c r="D151" s="8"/>
      <c r="E151" s="8" t="str">
        <f>IF(C151="","",IFERROR(INDEX(GÄSTELISTE!N$6:N$305,MATCH(C151&amp;" "&amp;D151,GÄSTELISTE!Q$6:Q$305,0)),"nicht gefunden"))</f>
        <v/>
      </c>
      <c r="F151" s="8" t="str">
        <f>IF(C151="","",IFERROR(INDEX(GÄSTELISTE!H$6:H$305,MATCH(C151&amp;" "&amp;D151,GÄSTELISTE!Q$6:Q$305,0)),""))</f>
        <v/>
      </c>
      <c r="G151" s="8"/>
    </row>
    <row r="152" spans="1:7" x14ac:dyDescent="0.25">
      <c r="A152" s="11"/>
      <c r="B152" s="11"/>
      <c r="C152" s="11"/>
      <c r="D152" s="11"/>
      <c r="E152" s="11" t="str">
        <f>IF(C152="","",IFERROR(INDEX(GÄSTELISTE!N$6:N$305,MATCH(C152&amp;" "&amp;D152,GÄSTELISTE!Q$6:Q$305,0)),"nicht gefunden"))</f>
        <v/>
      </c>
      <c r="F152" s="11" t="str">
        <f>IF(C152="","",IFERROR(INDEX(GÄSTELISTE!H$6:H$305,MATCH(C152&amp;" "&amp;D152,GÄSTELISTE!Q$6:Q$305,0)),""))</f>
        <v/>
      </c>
      <c r="G152" s="11"/>
    </row>
    <row r="153" spans="1:7" x14ac:dyDescent="0.25">
      <c r="A153" s="8"/>
      <c r="B153" s="8"/>
      <c r="C153" s="8"/>
      <c r="D153" s="8"/>
      <c r="E153" s="8" t="str">
        <f>IF(C153="","",IFERROR(INDEX(GÄSTELISTE!N$6:N$305,MATCH(C153&amp;" "&amp;D153,GÄSTELISTE!Q$6:Q$305,0)),"nicht gefunden"))</f>
        <v/>
      </c>
      <c r="F153" s="8" t="str">
        <f>IF(C153="","",IFERROR(INDEX(GÄSTELISTE!H$6:H$305,MATCH(C153&amp;" "&amp;D153,GÄSTELISTE!Q$6:Q$305,0)),""))</f>
        <v/>
      </c>
      <c r="G153" s="8"/>
    </row>
    <row r="154" spans="1:7" x14ac:dyDescent="0.25">
      <c r="A154" s="11"/>
      <c r="B154" s="11"/>
      <c r="C154" s="11"/>
      <c r="D154" s="11"/>
      <c r="E154" s="11" t="str">
        <f>IF(C154="","",IFERROR(INDEX(GÄSTELISTE!N$6:N$305,MATCH(C154&amp;" "&amp;D154,GÄSTELISTE!Q$6:Q$305,0)),"nicht gefunden"))</f>
        <v/>
      </c>
      <c r="F154" s="11" t="str">
        <f>IF(C154="","",IFERROR(INDEX(GÄSTELISTE!H$6:H$305,MATCH(C154&amp;" "&amp;D154,GÄSTELISTE!Q$6:Q$305,0)),""))</f>
        <v/>
      </c>
      <c r="G154" s="11"/>
    </row>
    <row r="155" spans="1:7" x14ac:dyDescent="0.25">
      <c r="A155" s="8"/>
      <c r="B155" s="8"/>
      <c r="C155" s="8"/>
      <c r="D155" s="8"/>
      <c r="E155" s="8" t="str">
        <f>IF(C155="","",IFERROR(INDEX(GÄSTELISTE!N$6:N$305,MATCH(C155&amp;" "&amp;D155,GÄSTELISTE!Q$6:Q$305,0)),"nicht gefunden"))</f>
        <v/>
      </c>
      <c r="F155" s="8" t="str">
        <f>IF(C155="","",IFERROR(INDEX(GÄSTELISTE!H$6:H$305,MATCH(C155&amp;" "&amp;D155,GÄSTELISTE!Q$6:Q$305,0)),""))</f>
        <v/>
      </c>
      <c r="G155" s="8"/>
    </row>
    <row r="156" spans="1:7" x14ac:dyDescent="0.25">
      <c r="A156" s="11"/>
      <c r="B156" s="11"/>
      <c r="C156" s="11"/>
      <c r="D156" s="11"/>
      <c r="E156" s="11" t="str">
        <f>IF(C156="","",IFERROR(INDEX(GÄSTELISTE!N$6:N$305,MATCH(C156&amp;" "&amp;D156,GÄSTELISTE!Q$6:Q$305,0)),"nicht gefunden"))</f>
        <v/>
      </c>
      <c r="F156" s="11" t="str">
        <f>IF(C156="","",IFERROR(INDEX(GÄSTELISTE!H$6:H$305,MATCH(C156&amp;" "&amp;D156,GÄSTELISTE!Q$6:Q$305,0)),""))</f>
        <v/>
      </c>
      <c r="G156" s="11"/>
    </row>
    <row r="157" spans="1:7" x14ac:dyDescent="0.25">
      <c r="A157" s="8"/>
      <c r="B157" s="8"/>
      <c r="C157" s="8"/>
      <c r="D157" s="8"/>
      <c r="E157" s="8" t="str">
        <f>IF(C157="","",IFERROR(INDEX(GÄSTELISTE!N$6:N$305,MATCH(C157&amp;" "&amp;D157,GÄSTELISTE!Q$6:Q$305,0)),"nicht gefunden"))</f>
        <v/>
      </c>
      <c r="F157" s="8" t="str">
        <f>IF(C157="","",IFERROR(INDEX(GÄSTELISTE!H$6:H$305,MATCH(C157&amp;" "&amp;D157,GÄSTELISTE!Q$6:Q$305,0)),""))</f>
        <v/>
      </c>
      <c r="G157" s="8"/>
    </row>
    <row r="158" spans="1:7" x14ac:dyDescent="0.25">
      <c r="A158" s="11"/>
      <c r="B158" s="11"/>
      <c r="C158" s="11"/>
      <c r="D158" s="11"/>
      <c r="E158" s="11" t="str">
        <f>IF(C158="","",IFERROR(INDEX(GÄSTELISTE!N$6:N$305,MATCH(C158&amp;" "&amp;D158,GÄSTELISTE!Q$6:Q$305,0)),"nicht gefunden"))</f>
        <v/>
      </c>
      <c r="F158" s="11" t="str">
        <f>IF(C158="","",IFERROR(INDEX(GÄSTELISTE!H$6:H$305,MATCH(C158&amp;" "&amp;D158,GÄSTELISTE!Q$6:Q$305,0)),""))</f>
        <v/>
      </c>
      <c r="G158" s="11"/>
    </row>
    <row r="159" spans="1:7" x14ac:dyDescent="0.25">
      <c r="A159" s="8"/>
      <c r="B159" s="8"/>
      <c r="C159" s="8"/>
      <c r="D159" s="8"/>
      <c r="E159" s="8" t="str">
        <f>IF(C159="","",IFERROR(INDEX(GÄSTELISTE!N$6:N$305,MATCH(C159&amp;" "&amp;D159,GÄSTELISTE!Q$6:Q$305,0)),"nicht gefunden"))</f>
        <v/>
      </c>
      <c r="F159" s="8" t="str">
        <f>IF(C159="","",IFERROR(INDEX(GÄSTELISTE!H$6:H$305,MATCH(C159&amp;" "&amp;D159,GÄSTELISTE!Q$6:Q$305,0)),""))</f>
        <v/>
      </c>
      <c r="G159" s="8"/>
    </row>
    <row r="160" spans="1:7" x14ac:dyDescent="0.25">
      <c r="A160" s="11"/>
      <c r="B160" s="11"/>
      <c r="C160" s="11"/>
      <c r="D160" s="11"/>
      <c r="E160" s="11" t="str">
        <f>IF(C160="","",IFERROR(INDEX(GÄSTELISTE!N$6:N$305,MATCH(C160&amp;" "&amp;D160,GÄSTELISTE!Q$6:Q$305,0)),"nicht gefunden"))</f>
        <v/>
      </c>
      <c r="F160" s="11" t="str">
        <f>IF(C160="","",IFERROR(INDEX(GÄSTELISTE!H$6:H$305,MATCH(C160&amp;" "&amp;D160,GÄSTELISTE!Q$6:Q$305,0)),""))</f>
        <v/>
      </c>
      <c r="G160" s="11"/>
    </row>
    <row r="162" spans="1:1" x14ac:dyDescent="0.25">
      <c r="A162" s="9" t="s">
        <v>248</v>
      </c>
    </row>
  </sheetData>
  <mergeCells count="2">
    <mergeCell ref="A2:F2"/>
    <mergeCell ref="A1:F1"/>
  </mergeCells>
  <conditionalFormatting sqref="E6:E160">
    <cfRule type="cellIs" dxfId="1" priority="1" operator="equal">
      <formula>"Zusage"</formula>
    </cfRule>
    <cfRule type="cellIs" dxfId="0" priority="2" operator="equal">
      <formula>"nicht gefunden"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7C9885"/>
  </sheetPr>
  <dimension ref="A1:G80"/>
  <sheetViews>
    <sheetView showGridLines="0" tabSelected="1" workbookViewId="0">
      <pane ySplit="5" topLeftCell="A6" activePane="bottomLeft" state="frozen"/>
      <selection pane="bottomLeft" sqref="A1:F1"/>
    </sheetView>
  </sheetViews>
  <sheetFormatPr baseColWidth="10" defaultColWidth="9.140625" defaultRowHeight="15" x14ac:dyDescent="0.25"/>
  <cols>
    <col min="1" max="1" width="24" customWidth="1"/>
    <col min="2" max="2" width="12" customWidth="1"/>
    <col min="3" max="3" width="40" customWidth="1"/>
    <col min="4" max="4" width="14" customWidth="1"/>
    <col min="5" max="5" width="22" customWidth="1"/>
    <col min="6" max="6" width="24" customWidth="1"/>
    <col min="7" max="7" width="30" customWidth="1"/>
  </cols>
  <sheetData>
    <row r="1" spans="1:7" ht="33.950000000000003" customHeight="1" x14ac:dyDescent="0.25">
      <c r="A1" s="32" t="s">
        <v>249</v>
      </c>
      <c r="B1" s="33"/>
      <c r="C1" s="33"/>
      <c r="D1" s="33"/>
      <c r="E1" s="33"/>
      <c r="F1" s="33"/>
    </row>
    <row r="2" spans="1:7" ht="15.95" customHeight="1" x14ac:dyDescent="0.25">
      <c r="A2" s="25" t="s">
        <v>250</v>
      </c>
      <c r="B2" s="26"/>
      <c r="C2" s="26"/>
      <c r="D2" s="26"/>
      <c r="E2" s="26"/>
      <c r="F2" s="26"/>
    </row>
    <row r="5" spans="1:7" ht="30" customHeight="1" x14ac:dyDescent="0.25">
      <c r="A5" s="16" t="s">
        <v>26</v>
      </c>
      <c r="B5" s="16" t="s">
        <v>251</v>
      </c>
      <c r="C5" s="16" t="s">
        <v>252</v>
      </c>
      <c r="D5" s="16" t="s">
        <v>253</v>
      </c>
      <c r="E5" s="16" t="s">
        <v>173</v>
      </c>
      <c r="F5" s="16" t="s">
        <v>64</v>
      </c>
      <c r="G5" s="16" t="s">
        <v>68</v>
      </c>
    </row>
    <row r="6" spans="1:7" x14ac:dyDescent="0.25">
      <c r="A6" s="11" t="s">
        <v>85</v>
      </c>
      <c r="B6" s="11" t="s">
        <v>254</v>
      </c>
      <c r="C6" s="11" t="s">
        <v>255</v>
      </c>
      <c r="D6" s="11">
        <v>30</v>
      </c>
      <c r="E6" s="11" t="s">
        <v>152</v>
      </c>
      <c r="F6" s="11" t="s">
        <v>256</v>
      </c>
      <c r="G6" s="11" t="s">
        <v>92</v>
      </c>
    </row>
    <row r="7" spans="1:7" x14ac:dyDescent="0.25">
      <c r="A7" s="8" t="s">
        <v>85</v>
      </c>
      <c r="B7" s="8" t="s">
        <v>86</v>
      </c>
      <c r="C7" s="8" t="s">
        <v>257</v>
      </c>
      <c r="D7" s="8">
        <v>60</v>
      </c>
      <c r="E7" s="8" t="s">
        <v>258</v>
      </c>
      <c r="F7" s="8" t="s">
        <v>256</v>
      </c>
      <c r="G7" s="8" t="s">
        <v>92</v>
      </c>
    </row>
    <row r="8" spans="1:7" x14ac:dyDescent="0.25">
      <c r="A8" s="11" t="s">
        <v>93</v>
      </c>
      <c r="B8" s="11" t="s">
        <v>87</v>
      </c>
      <c r="C8" s="11" t="s">
        <v>259</v>
      </c>
      <c r="D8" s="11">
        <v>45</v>
      </c>
      <c r="E8" s="11" t="s">
        <v>260</v>
      </c>
      <c r="F8" s="11" t="s">
        <v>261</v>
      </c>
      <c r="G8" s="11" t="s">
        <v>92</v>
      </c>
    </row>
    <row r="9" spans="1:7" x14ac:dyDescent="0.25">
      <c r="A9" s="8" t="s">
        <v>93</v>
      </c>
      <c r="B9" s="8" t="s">
        <v>94</v>
      </c>
      <c r="C9" s="8" t="s">
        <v>262</v>
      </c>
      <c r="D9" s="8">
        <v>60</v>
      </c>
      <c r="E9" s="8" t="s">
        <v>156</v>
      </c>
      <c r="F9" s="8" t="s">
        <v>263</v>
      </c>
      <c r="G9" s="8" t="s">
        <v>92</v>
      </c>
    </row>
    <row r="10" spans="1:7" x14ac:dyDescent="0.25">
      <c r="A10" s="11" t="s">
        <v>93</v>
      </c>
      <c r="B10" s="11" t="s">
        <v>264</v>
      </c>
      <c r="C10" s="11" t="s">
        <v>265</v>
      </c>
      <c r="D10" s="11">
        <v>90</v>
      </c>
      <c r="E10" s="11" t="s">
        <v>156</v>
      </c>
      <c r="F10" s="11" t="s">
        <v>263</v>
      </c>
      <c r="G10" s="11" t="s">
        <v>92</v>
      </c>
    </row>
    <row r="11" spans="1:7" x14ac:dyDescent="0.25">
      <c r="A11" s="8" t="s">
        <v>93</v>
      </c>
      <c r="B11" s="8" t="s">
        <v>266</v>
      </c>
      <c r="C11" s="8" t="s">
        <v>267</v>
      </c>
      <c r="D11" s="8">
        <v>15</v>
      </c>
      <c r="E11" s="8" t="s">
        <v>268</v>
      </c>
      <c r="F11" s="8" t="s">
        <v>263</v>
      </c>
      <c r="G11" s="8" t="s">
        <v>92</v>
      </c>
    </row>
    <row r="12" spans="1:7" x14ac:dyDescent="0.25">
      <c r="A12" s="11"/>
      <c r="B12" s="11"/>
      <c r="C12" s="11"/>
      <c r="D12" s="11"/>
      <c r="E12" s="11"/>
      <c r="F12" s="11"/>
      <c r="G12" s="11"/>
    </row>
    <row r="13" spans="1:7" x14ac:dyDescent="0.25">
      <c r="A13" s="8"/>
      <c r="B13" s="8"/>
      <c r="C13" s="8"/>
      <c r="D13" s="8"/>
      <c r="E13" s="8"/>
      <c r="F13" s="8"/>
      <c r="G13" s="8"/>
    </row>
    <row r="14" spans="1:7" x14ac:dyDescent="0.25">
      <c r="A14" s="11"/>
      <c r="B14" s="11"/>
      <c r="C14" s="11"/>
      <c r="D14" s="11"/>
      <c r="E14" s="11"/>
      <c r="F14" s="11"/>
      <c r="G14" s="11"/>
    </row>
    <row r="15" spans="1:7" x14ac:dyDescent="0.25">
      <c r="A15" s="8"/>
      <c r="B15" s="8"/>
      <c r="C15" s="8"/>
      <c r="D15" s="8"/>
      <c r="E15" s="8"/>
      <c r="F15" s="8"/>
      <c r="G15" s="8"/>
    </row>
    <row r="16" spans="1:7" x14ac:dyDescent="0.25">
      <c r="A16" s="11"/>
      <c r="B16" s="11"/>
      <c r="C16" s="11"/>
      <c r="D16" s="11"/>
      <c r="E16" s="11"/>
      <c r="F16" s="11"/>
      <c r="G16" s="11"/>
    </row>
    <row r="17" spans="1:7" x14ac:dyDescent="0.25">
      <c r="A17" s="8"/>
      <c r="B17" s="8"/>
      <c r="C17" s="8"/>
      <c r="D17" s="8"/>
      <c r="E17" s="8"/>
      <c r="F17" s="8"/>
      <c r="G17" s="8"/>
    </row>
    <row r="18" spans="1:7" x14ac:dyDescent="0.25">
      <c r="A18" s="11"/>
      <c r="B18" s="11"/>
      <c r="C18" s="11"/>
      <c r="D18" s="11"/>
      <c r="E18" s="11"/>
      <c r="F18" s="11"/>
      <c r="G18" s="11"/>
    </row>
    <row r="19" spans="1:7" x14ac:dyDescent="0.25">
      <c r="A19" s="8"/>
      <c r="B19" s="8"/>
      <c r="C19" s="8"/>
      <c r="D19" s="8"/>
      <c r="E19" s="8"/>
      <c r="F19" s="8"/>
      <c r="G19" s="8"/>
    </row>
    <row r="20" spans="1:7" x14ac:dyDescent="0.25">
      <c r="A20" s="11"/>
      <c r="B20" s="11"/>
      <c r="C20" s="11"/>
      <c r="D20" s="11"/>
      <c r="E20" s="11"/>
      <c r="F20" s="11"/>
      <c r="G20" s="11"/>
    </row>
    <row r="21" spans="1:7" x14ac:dyDescent="0.25">
      <c r="A21" s="8"/>
      <c r="B21" s="8"/>
      <c r="C21" s="8"/>
      <c r="D21" s="8"/>
      <c r="E21" s="8"/>
      <c r="F21" s="8"/>
      <c r="G21" s="8"/>
    </row>
    <row r="22" spans="1:7" x14ac:dyDescent="0.25">
      <c r="A22" s="11"/>
      <c r="B22" s="11"/>
      <c r="C22" s="11"/>
      <c r="D22" s="11"/>
      <c r="E22" s="11"/>
      <c r="F22" s="11"/>
      <c r="G22" s="11"/>
    </row>
    <row r="23" spans="1:7" x14ac:dyDescent="0.25">
      <c r="A23" s="8"/>
      <c r="B23" s="8"/>
      <c r="C23" s="8"/>
      <c r="D23" s="8"/>
      <c r="E23" s="8"/>
      <c r="F23" s="8"/>
      <c r="G23" s="8"/>
    </row>
    <row r="24" spans="1:7" x14ac:dyDescent="0.25">
      <c r="A24" s="11"/>
      <c r="B24" s="11"/>
      <c r="C24" s="11"/>
      <c r="D24" s="11"/>
      <c r="E24" s="11"/>
      <c r="F24" s="11"/>
      <c r="G24" s="11"/>
    </row>
    <row r="25" spans="1:7" x14ac:dyDescent="0.25">
      <c r="A25" s="8"/>
      <c r="B25" s="8"/>
      <c r="C25" s="8"/>
      <c r="D25" s="8"/>
      <c r="E25" s="8"/>
      <c r="F25" s="8"/>
      <c r="G25" s="8"/>
    </row>
    <row r="26" spans="1:7" x14ac:dyDescent="0.25">
      <c r="A26" s="11"/>
      <c r="B26" s="11"/>
      <c r="C26" s="11"/>
      <c r="D26" s="11"/>
      <c r="E26" s="11"/>
      <c r="F26" s="11"/>
      <c r="G26" s="11"/>
    </row>
    <row r="27" spans="1:7" x14ac:dyDescent="0.25">
      <c r="A27" s="8"/>
      <c r="B27" s="8"/>
      <c r="C27" s="8"/>
      <c r="D27" s="8"/>
      <c r="E27" s="8"/>
      <c r="F27" s="8"/>
      <c r="G27" s="8"/>
    </row>
    <row r="28" spans="1:7" x14ac:dyDescent="0.25">
      <c r="A28" s="11"/>
      <c r="B28" s="11"/>
      <c r="C28" s="11"/>
      <c r="D28" s="11"/>
      <c r="E28" s="11"/>
      <c r="F28" s="11"/>
      <c r="G28" s="11"/>
    </row>
    <row r="29" spans="1:7" x14ac:dyDescent="0.25">
      <c r="A29" s="8"/>
      <c r="B29" s="8"/>
      <c r="C29" s="8"/>
      <c r="D29" s="8"/>
      <c r="E29" s="8"/>
      <c r="F29" s="8"/>
      <c r="G29" s="8"/>
    </row>
    <row r="30" spans="1:7" x14ac:dyDescent="0.25">
      <c r="A30" s="11"/>
      <c r="B30" s="11"/>
      <c r="C30" s="11"/>
      <c r="D30" s="11"/>
      <c r="E30" s="11"/>
      <c r="F30" s="11"/>
      <c r="G30" s="11"/>
    </row>
    <row r="31" spans="1:7" x14ac:dyDescent="0.25">
      <c r="A31" s="8"/>
      <c r="B31" s="8"/>
      <c r="C31" s="8"/>
      <c r="D31" s="8"/>
      <c r="E31" s="8"/>
      <c r="F31" s="8"/>
      <c r="G31" s="8"/>
    </row>
    <row r="32" spans="1:7" x14ac:dyDescent="0.25">
      <c r="A32" s="11"/>
      <c r="B32" s="11"/>
      <c r="C32" s="11"/>
      <c r="D32" s="11"/>
      <c r="E32" s="11"/>
      <c r="F32" s="11"/>
      <c r="G32" s="11"/>
    </row>
    <row r="33" spans="1:7" x14ac:dyDescent="0.25">
      <c r="A33" s="8"/>
      <c r="B33" s="8"/>
      <c r="C33" s="8"/>
      <c r="D33" s="8"/>
      <c r="E33" s="8"/>
      <c r="F33" s="8"/>
      <c r="G33" s="8"/>
    </row>
    <row r="34" spans="1:7" x14ac:dyDescent="0.25">
      <c r="A34" s="11"/>
      <c r="B34" s="11"/>
      <c r="C34" s="11"/>
      <c r="D34" s="11"/>
      <c r="E34" s="11"/>
      <c r="F34" s="11"/>
      <c r="G34" s="11"/>
    </row>
    <row r="35" spans="1:7" x14ac:dyDescent="0.25">
      <c r="A35" s="8"/>
      <c r="B35" s="8"/>
      <c r="C35" s="8"/>
      <c r="D35" s="8"/>
      <c r="E35" s="8"/>
      <c r="F35" s="8"/>
      <c r="G35" s="8"/>
    </row>
    <row r="36" spans="1:7" x14ac:dyDescent="0.25">
      <c r="A36" s="11"/>
      <c r="B36" s="11"/>
      <c r="C36" s="11"/>
      <c r="D36" s="11"/>
      <c r="E36" s="11"/>
      <c r="F36" s="11"/>
      <c r="G36" s="11"/>
    </row>
    <row r="37" spans="1:7" x14ac:dyDescent="0.25">
      <c r="A37" s="8"/>
      <c r="B37" s="8"/>
      <c r="C37" s="8"/>
      <c r="D37" s="8"/>
      <c r="E37" s="8"/>
      <c r="F37" s="8"/>
      <c r="G37" s="8"/>
    </row>
    <row r="38" spans="1:7" x14ac:dyDescent="0.25">
      <c r="A38" s="11"/>
      <c r="B38" s="11"/>
      <c r="C38" s="11"/>
      <c r="D38" s="11"/>
      <c r="E38" s="11"/>
      <c r="F38" s="11"/>
      <c r="G38" s="11"/>
    </row>
    <row r="39" spans="1:7" x14ac:dyDescent="0.25">
      <c r="A39" s="8"/>
      <c r="B39" s="8"/>
      <c r="C39" s="8"/>
      <c r="D39" s="8"/>
      <c r="E39" s="8"/>
      <c r="F39" s="8"/>
      <c r="G39" s="8"/>
    </row>
    <row r="40" spans="1:7" x14ac:dyDescent="0.25">
      <c r="A40" s="11"/>
      <c r="B40" s="11"/>
      <c r="C40" s="11"/>
      <c r="D40" s="11"/>
      <c r="E40" s="11"/>
      <c r="F40" s="11"/>
      <c r="G40" s="11"/>
    </row>
    <row r="41" spans="1:7" x14ac:dyDescent="0.25">
      <c r="A41" s="8"/>
      <c r="B41" s="8"/>
      <c r="C41" s="8"/>
      <c r="D41" s="8"/>
      <c r="E41" s="8"/>
      <c r="F41" s="8"/>
      <c r="G41" s="8"/>
    </row>
    <row r="42" spans="1:7" x14ac:dyDescent="0.25">
      <c r="A42" s="11"/>
      <c r="B42" s="11"/>
      <c r="C42" s="11"/>
      <c r="D42" s="11"/>
      <c r="E42" s="11"/>
      <c r="F42" s="11"/>
      <c r="G42" s="11"/>
    </row>
    <row r="43" spans="1:7" x14ac:dyDescent="0.25">
      <c r="A43" s="8"/>
      <c r="B43" s="8"/>
      <c r="C43" s="8"/>
      <c r="D43" s="8"/>
      <c r="E43" s="8"/>
      <c r="F43" s="8"/>
      <c r="G43" s="8"/>
    </row>
    <row r="44" spans="1:7" x14ac:dyDescent="0.25">
      <c r="A44" s="11"/>
      <c r="B44" s="11"/>
      <c r="C44" s="11"/>
      <c r="D44" s="11"/>
      <c r="E44" s="11"/>
      <c r="F44" s="11"/>
      <c r="G44" s="11"/>
    </row>
    <row r="45" spans="1:7" x14ac:dyDescent="0.25">
      <c r="A45" s="8"/>
      <c r="B45" s="8"/>
      <c r="C45" s="8"/>
      <c r="D45" s="8"/>
      <c r="E45" s="8"/>
      <c r="F45" s="8"/>
      <c r="G45" s="8"/>
    </row>
    <row r="46" spans="1:7" x14ac:dyDescent="0.25">
      <c r="A46" s="11"/>
      <c r="B46" s="11"/>
      <c r="C46" s="11"/>
      <c r="D46" s="11"/>
      <c r="E46" s="11"/>
      <c r="F46" s="11"/>
      <c r="G46" s="11"/>
    </row>
    <row r="47" spans="1:7" x14ac:dyDescent="0.25">
      <c r="A47" s="8"/>
      <c r="B47" s="8"/>
      <c r="C47" s="8"/>
      <c r="D47" s="8"/>
      <c r="E47" s="8"/>
      <c r="F47" s="8"/>
      <c r="G47" s="8"/>
    </row>
    <row r="48" spans="1:7" x14ac:dyDescent="0.25">
      <c r="A48" s="11"/>
      <c r="B48" s="11"/>
      <c r="C48" s="11"/>
      <c r="D48" s="11"/>
      <c r="E48" s="11"/>
      <c r="F48" s="11"/>
      <c r="G48" s="11"/>
    </row>
    <row r="49" spans="1:7" x14ac:dyDescent="0.25">
      <c r="A49" s="8"/>
      <c r="B49" s="8"/>
      <c r="C49" s="8"/>
      <c r="D49" s="8"/>
      <c r="E49" s="8"/>
      <c r="F49" s="8"/>
      <c r="G49" s="8"/>
    </row>
    <row r="50" spans="1:7" x14ac:dyDescent="0.25">
      <c r="A50" s="11"/>
      <c r="B50" s="11"/>
      <c r="C50" s="11"/>
      <c r="D50" s="11"/>
      <c r="E50" s="11"/>
      <c r="F50" s="11"/>
      <c r="G50" s="11"/>
    </row>
    <row r="51" spans="1:7" x14ac:dyDescent="0.25">
      <c r="A51" s="8"/>
      <c r="B51" s="8"/>
      <c r="C51" s="8"/>
      <c r="D51" s="8"/>
      <c r="E51" s="8"/>
      <c r="F51" s="8"/>
      <c r="G51" s="8"/>
    </row>
    <row r="52" spans="1:7" x14ac:dyDescent="0.25">
      <c r="A52" s="11"/>
      <c r="B52" s="11"/>
      <c r="C52" s="11"/>
      <c r="D52" s="11"/>
      <c r="E52" s="11"/>
      <c r="F52" s="11"/>
      <c r="G52" s="11"/>
    </row>
    <row r="53" spans="1:7" x14ac:dyDescent="0.25">
      <c r="A53" s="8"/>
      <c r="B53" s="8"/>
      <c r="C53" s="8"/>
      <c r="D53" s="8"/>
      <c r="E53" s="8"/>
      <c r="F53" s="8"/>
      <c r="G53" s="8"/>
    </row>
    <row r="54" spans="1:7" x14ac:dyDescent="0.25">
      <c r="A54" s="11"/>
      <c r="B54" s="11"/>
      <c r="C54" s="11"/>
      <c r="D54" s="11"/>
      <c r="E54" s="11"/>
      <c r="F54" s="11"/>
      <c r="G54" s="11"/>
    </row>
    <row r="55" spans="1:7" x14ac:dyDescent="0.25">
      <c r="A55" s="8"/>
      <c r="B55" s="8"/>
      <c r="C55" s="8"/>
      <c r="D55" s="8"/>
      <c r="E55" s="8"/>
      <c r="F55" s="8"/>
      <c r="G55" s="8"/>
    </row>
    <row r="56" spans="1:7" x14ac:dyDescent="0.25">
      <c r="A56" s="11"/>
      <c r="B56" s="11"/>
      <c r="C56" s="11"/>
      <c r="D56" s="11"/>
      <c r="E56" s="11"/>
      <c r="F56" s="11"/>
      <c r="G56" s="11"/>
    </row>
    <row r="57" spans="1:7" x14ac:dyDescent="0.25">
      <c r="A57" s="8"/>
      <c r="B57" s="8"/>
      <c r="C57" s="8"/>
      <c r="D57" s="8"/>
      <c r="E57" s="8"/>
      <c r="F57" s="8"/>
      <c r="G57" s="8"/>
    </row>
    <row r="58" spans="1:7" x14ac:dyDescent="0.25">
      <c r="A58" s="11"/>
      <c r="B58" s="11"/>
      <c r="C58" s="11"/>
      <c r="D58" s="11"/>
      <c r="E58" s="11"/>
      <c r="F58" s="11"/>
      <c r="G58" s="11"/>
    </row>
    <row r="59" spans="1:7" x14ac:dyDescent="0.25">
      <c r="A59" s="8"/>
      <c r="B59" s="8"/>
      <c r="C59" s="8"/>
      <c r="D59" s="8"/>
      <c r="E59" s="8"/>
      <c r="F59" s="8"/>
      <c r="G59" s="8"/>
    </row>
    <row r="60" spans="1:7" x14ac:dyDescent="0.25">
      <c r="A60" s="11"/>
      <c r="B60" s="11"/>
      <c r="C60" s="11"/>
      <c r="D60" s="11"/>
      <c r="E60" s="11"/>
      <c r="F60" s="11"/>
      <c r="G60" s="11"/>
    </row>
    <row r="61" spans="1:7" x14ac:dyDescent="0.25">
      <c r="A61" s="8"/>
      <c r="B61" s="8"/>
      <c r="C61" s="8"/>
      <c r="D61" s="8"/>
      <c r="E61" s="8"/>
      <c r="F61" s="8"/>
      <c r="G61" s="8"/>
    </row>
    <row r="62" spans="1:7" x14ac:dyDescent="0.25">
      <c r="A62" s="11"/>
      <c r="B62" s="11"/>
      <c r="C62" s="11"/>
      <c r="D62" s="11"/>
      <c r="E62" s="11"/>
      <c r="F62" s="11"/>
      <c r="G62" s="11"/>
    </row>
    <row r="63" spans="1:7" x14ac:dyDescent="0.25">
      <c r="A63" s="8"/>
      <c r="B63" s="8"/>
      <c r="C63" s="8"/>
      <c r="D63" s="8"/>
      <c r="E63" s="8"/>
      <c r="F63" s="8"/>
      <c r="G63" s="8"/>
    </row>
    <row r="64" spans="1:7" x14ac:dyDescent="0.25">
      <c r="A64" s="11"/>
      <c r="B64" s="11"/>
      <c r="C64" s="11"/>
      <c r="D64" s="11"/>
      <c r="E64" s="11"/>
      <c r="F64" s="11"/>
      <c r="G64" s="11"/>
    </row>
    <row r="65" spans="1:7" x14ac:dyDescent="0.25">
      <c r="A65" s="8"/>
      <c r="B65" s="8"/>
      <c r="C65" s="8"/>
      <c r="D65" s="8"/>
      <c r="E65" s="8"/>
      <c r="F65" s="8"/>
      <c r="G65" s="8"/>
    </row>
    <row r="66" spans="1:7" x14ac:dyDescent="0.25">
      <c r="A66" s="11"/>
      <c r="B66" s="11"/>
      <c r="C66" s="11"/>
      <c r="D66" s="11"/>
      <c r="E66" s="11"/>
      <c r="F66" s="11"/>
      <c r="G66" s="11"/>
    </row>
    <row r="67" spans="1:7" x14ac:dyDescent="0.25">
      <c r="A67" s="8"/>
      <c r="B67" s="8"/>
      <c r="C67" s="8"/>
      <c r="D67" s="8"/>
      <c r="E67" s="8"/>
      <c r="F67" s="8"/>
      <c r="G67" s="8"/>
    </row>
    <row r="68" spans="1:7" x14ac:dyDescent="0.25">
      <c r="A68" s="11"/>
      <c r="B68" s="11"/>
      <c r="C68" s="11"/>
      <c r="D68" s="11"/>
      <c r="E68" s="11"/>
      <c r="F68" s="11"/>
      <c r="G68" s="11"/>
    </row>
    <row r="69" spans="1:7" x14ac:dyDescent="0.25">
      <c r="A69" s="8"/>
      <c r="B69" s="8"/>
      <c r="C69" s="8"/>
      <c r="D69" s="8"/>
      <c r="E69" s="8"/>
      <c r="F69" s="8"/>
      <c r="G69" s="8"/>
    </row>
    <row r="70" spans="1:7" x14ac:dyDescent="0.25">
      <c r="A70" s="11"/>
      <c r="B70" s="11"/>
      <c r="C70" s="11"/>
      <c r="D70" s="11"/>
      <c r="E70" s="11"/>
      <c r="F70" s="11"/>
      <c r="G70" s="11"/>
    </row>
    <row r="71" spans="1:7" x14ac:dyDescent="0.25">
      <c r="A71" s="8"/>
      <c r="B71" s="8"/>
      <c r="C71" s="8"/>
      <c r="D71" s="8"/>
      <c r="E71" s="8"/>
      <c r="F71" s="8"/>
      <c r="G71" s="8"/>
    </row>
    <row r="72" spans="1:7" x14ac:dyDescent="0.25">
      <c r="A72" s="11"/>
      <c r="B72" s="11"/>
      <c r="C72" s="11"/>
      <c r="D72" s="11"/>
      <c r="E72" s="11"/>
      <c r="F72" s="11"/>
      <c r="G72" s="11"/>
    </row>
    <row r="73" spans="1:7" x14ac:dyDescent="0.25">
      <c r="A73" s="8"/>
      <c r="B73" s="8"/>
      <c r="C73" s="8"/>
      <c r="D73" s="8"/>
      <c r="E73" s="8"/>
      <c r="F73" s="8"/>
      <c r="G73" s="8"/>
    </row>
    <row r="74" spans="1:7" x14ac:dyDescent="0.25">
      <c r="A74" s="11"/>
      <c r="B74" s="11"/>
      <c r="C74" s="11"/>
      <c r="D74" s="11"/>
      <c r="E74" s="11"/>
      <c r="F74" s="11"/>
      <c r="G74" s="11"/>
    </row>
    <row r="75" spans="1:7" x14ac:dyDescent="0.25">
      <c r="A75" s="8"/>
      <c r="B75" s="8"/>
      <c r="C75" s="8"/>
      <c r="D75" s="8"/>
      <c r="E75" s="8"/>
      <c r="F75" s="8"/>
      <c r="G75" s="8"/>
    </row>
    <row r="76" spans="1:7" x14ac:dyDescent="0.25">
      <c r="A76" s="11"/>
      <c r="B76" s="11"/>
      <c r="C76" s="11"/>
      <c r="D76" s="11"/>
      <c r="E76" s="11"/>
      <c r="F76" s="11"/>
      <c r="G76" s="11"/>
    </row>
    <row r="77" spans="1:7" x14ac:dyDescent="0.25">
      <c r="A77" s="8"/>
      <c r="B77" s="8"/>
      <c r="C77" s="8"/>
      <c r="D77" s="8"/>
      <c r="E77" s="8"/>
      <c r="F77" s="8"/>
      <c r="G77" s="8"/>
    </row>
    <row r="78" spans="1:7" x14ac:dyDescent="0.25">
      <c r="A78" s="11"/>
      <c r="B78" s="11"/>
      <c r="C78" s="11"/>
      <c r="D78" s="11"/>
      <c r="E78" s="11"/>
      <c r="F78" s="11"/>
      <c r="G78" s="11"/>
    </row>
    <row r="79" spans="1:7" x14ac:dyDescent="0.25">
      <c r="A79" s="8"/>
      <c r="B79" s="8"/>
      <c r="C79" s="8"/>
      <c r="D79" s="8"/>
      <c r="E79" s="8"/>
      <c r="F79" s="8"/>
      <c r="G79" s="8"/>
    </row>
    <row r="80" spans="1:7" x14ac:dyDescent="0.25">
      <c r="A80" s="11"/>
      <c r="B80" s="11"/>
      <c r="C80" s="11"/>
      <c r="D80" s="11"/>
      <c r="E80" s="11"/>
      <c r="F80" s="11"/>
      <c r="G80" s="11"/>
    </row>
  </sheetData>
  <mergeCells count="2">
    <mergeCell ref="A2:F2"/>
    <mergeCell ref="A1:F1"/>
  </mergeCell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800-000000000000}">
          <x14:formula1>
            <xm:f>EVENTS!$B$6:$B$10</xm:f>
          </x14:formula1>
          <xm:sqref>A6:A80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9</vt:i4>
      </vt:variant>
    </vt:vector>
  </HeadingPairs>
  <TitlesOfParts>
    <vt:vector size="9" baseType="lpstr">
      <vt:lpstr>START</vt:lpstr>
      <vt:lpstr>ANLEITUNG</vt:lpstr>
      <vt:lpstr>EVENTS</vt:lpstr>
      <vt:lpstr>GÄSTELISTE</vt:lpstr>
      <vt:lpstr>BUDGET</vt:lpstr>
      <vt:lpstr>CHECKLISTE</vt:lpstr>
      <vt:lpstr>DIENSTLEISTER</vt:lpstr>
      <vt:lpstr>SITZPLAN</vt:lpstr>
      <vt:lpstr>TAGESABLAUF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Eduard Schmal</cp:lastModifiedBy>
  <dcterms:created xsi:type="dcterms:W3CDTF">2026-08-31T18:52:43Z</dcterms:created>
  <dcterms:modified xsi:type="dcterms:W3CDTF">2026-09-01T06:54:12Z</dcterms:modified>
</cp:coreProperties>
</file>